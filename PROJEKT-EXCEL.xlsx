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OneDrive\Pulpit\Inw_Alter_PR\"/>
    </mc:Choice>
  </mc:AlternateContent>
  <xr:revisionPtr revIDLastSave="0" documentId="13_ncr:1_{7B30010E-CAC6-4633-9357-837B3767A086}" xr6:coauthVersionLast="47" xr6:coauthVersionMax="47" xr10:uidLastSave="{00000000-0000-0000-0000-000000000000}"/>
  <bookViews>
    <workbookView xWindow="-120" yWindow="-120" windowWidth="38640" windowHeight="21120" activeTab="6" xr2:uid="{6B7EE8E7-5F14-4155-B59F-55517EF833DB}"/>
  </bookViews>
  <sheets>
    <sheet name="Tabela przestawna" sheetId="12" r:id="rId1"/>
    <sheet name="Obliczenia" sheetId="1" r:id="rId2"/>
    <sheet name="Macierz korelacji" sheetId="9" r:id="rId3"/>
    <sheet name="Podsumowanie" sheetId="8" r:id="rId4"/>
    <sheet name="Portfele" sheetId="10" r:id="rId5"/>
    <sheet name="Zmiana optymalnych portfeli" sheetId="11" r:id="rId6"/>
    <sheet name="Wskaźniki efektywności" sheetId="13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4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3" i="1"/>
  <c r="B15" i="8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J3" i="1"/>
  <c r="I3" i="1"/>
  <c r="H3" i="1"/>
  <c r="G3" i="1"/>
</calcChain>
</file>

<file path=xl/sharedStrings.xml><?xml version="1.0" encoding="utf-8"?>
<sst xmlns="http://schemas.openxmlformats.org/spreadsheetml/2006/main" count="463" uniqueCount="215">
  <si>
    <t>Data</t>
  </si>
  <si>
    <t>CDPR</t>
  </si>
  <si>
    <t>GBPPLN</t>
  </si>
  <si>
    <t>Pallad</t>
  </si>
  <si>
    <t>ETFSP500</t>
  </si>
  <si>
    <t>iCDPR</t>
  </si>
  <si>
    <t>iGBPPLN</t>
  </si>
  <si>
    <t>iPallad</t>
  </si>
  <si>
    <t>iETFSP500</t>
  </si>
  <si>
    <t>Średnia</t>
  </si>
  <si>
    <t>Błąd standardowy</t>
  </si>
  <si>
    <t>Mediana</t>
  </si>
  <si>
    <t>Odchylenie standardowe</t>
  </si>
  <si>
    <t>Wariancja próbki</t>
  </si>
  <si>
    <t>Kurtoza</t>
  </si>
  <si>
    <t>Skośność</t>
  </si>
  <si>
    <t>Zakres</t>
  </si>
  <si>
    <t>Minimum</t>
  </si>
  <si>
    <t>Maksimum</t>
  </si>
  <si>
    <t>Suma</t>
  </si>
  <si>
    <t>Licznik</t>
  </si>
  <si>
    <t>&lt; -</t>
  </si>
  <si>
    <t>punkty procentowe</t>
  </si>
  <si>
    <t xml:space="preserve">&lt;- </t>
  </si>
  <si>
    <t>iportfolio</t>
  </si>
  <si>
    <t>sdp</t>
  </si>
  <si>
    <t>sharp</t>
  </si>
  <si>
    <t>des</t>
  </si>
  <si>
    <t>Minimal risk portfolio</t>
  </si>
  <si>
    <t>Maximum efficiency portfolio</t>
  </si>
  <si>
    <t>Maximum rate of return portfolio</t>
  </si>
  <si>
    <t>Max weight one portfolio</t>
  </si>
  <si>
    <t>Max weight two portfolio</t>
  </si>
  <si>
    <t>Max weight three portfolio</t>
  </si>
  <si>
    <t>Max weight four portfolio</t>
  </si>
  <si>
    <t>GBP</t>
  </si>
  <si>
    <t xml:space="preserve">Minimalne ryzyko </t>
  </si>
  <si>
    <t>Maksymalna efektywność</t>
  </si>
  <si>
    <t>Portfele jednoelementowe</t>
  </si>
  <si>
    <t xml:space="preserve">Stopa wolna od ryzyka </t>
  </si>
  <si>
    <t>Prosta dywersyfikacja</t>
  </si>
  <si>
    <t>CD Projekt Red</t>
  </si>
  <si>
    <t>Zrównoważony portfel</t>
  </si>
  <si>
    <t>Portfele przy założeniu zajmowania tylko pozycji długich</t>
  </si>
  <si>
    <t>Portfele przy możliwości zajmowania pozycji krótkich</t>
  </si>
  <si>
    <t>Maximum efficiency portfolio (Sharpe)</t>
  </si>
  <si>
    <t>Etykiety wierszy</t>
  </si>
  <si>
    <t>Suma końcowa</t>
  </si>
  <si>
    <t>Średnia z iCDPR</t>
  </si>
  <si>
    <t>Średnia z iGBPPLN</t>
  </si>
  <si>
    <t>Średnia z iPallad</t>
  </si>
  <si>
    <t>Średnia z iETFSP500</t>
  </si>
  <si>
    <t>Lata (Data)</t>
  </si>
  <si>
    <t>CD_Projekt_Red</t>
  </si>
  <si>
    <t>kurs_GBP_PLN</t>
  </si>
  <si>
    <t>ETF_SP500</t>
  </si>
  <si>
    <t xml:space="preserve">Portfele o maksymalnej efektywności w każdym roku, badane osobno </t>
  </si>
  <si>
    <t xml:space="preserve">Portfele o minmalnym ryzyku w każdym roku, badane osobno </t>
  </si>
  <si>
    <t>(Wiele elementów)</t>
  </si>
  <si>
    <t>2015-2016</t>
  </si>
  <si>
    <t>2015-2017</t>
  </si>
  <si>
    <t>2015-2018</t>
  </si>
  <si>
    <t>2015-2019</t>
  </si>
  <si>
    <t>2015-2020</t>
  </si>
  <si>
    <t>2015-2021</t>
  </si>
  <si>
    <t>2015-2022</t>
  </si>
  <si>
    <t>2015-2023</t>
  </si>
  <si>
    <t>2015-2024</t>
  </si>
  <si>
    <t>2015-2025</t>
  </si>
  <si>
    <t>Portfele o maksymalnej efektywności w każdym roku, kumulowane</t>
  </si>
  <si>
    <t xml:space="preserve">Portfele o minmalnym ryzyku w każdym roku, skumulowane </t>
  </si>
  <si>
    <t>WIG20</t>
  </si>
  <si>
    <t>31,01,2015</t>
  </si>
  <si>
    <t>28,02,2015</t>
  </si>
  <si>
    <t>31,03,2015</t>
  </si>
  <si>
    <t>30,04,2015</t>
  </si>
  <si>
    <t>31,05,2015</t>
  </si>
  <si>
    <t>30,06,2015</t>
  </si>
  <si>
    <t>31,07,2015</t>
  </si>
  <si>
    <t>31,08,2015</t>
  </si>
  <si>
    <t>30,09,2015</t>
  </si>
  <si>
    <t>31,10,2015</t>
  </si>
  <si>
    <t>30,11,2015</t>
  </si>
  <si>
    <t>31,12,2015</t>
  </si>
  <si>
    <t>31,01,2016</t>
  </si>
  <si>
    <t>29,02,2016</t>
  </si>
  <si>
    <t>31,03,2016</t>
  </si>
  <si>
    <t>30,04,2016</t>
  </si>
  <si>
    <t>31,05,2016</t>
  </si>
  <si>
    <t>30,06,2016</t>
  </si>
  <si>
    <t>31,07,2016</t>
  </si>
  <si>
    <t>31,08,2016</t>
  </si>
  <si>
    <t>30,09,2016</t>
  </si>
  <si>
    <t>31,10,2016</t>
  </si>
  <si>
    <t>30,11,2016</t>
  </si>
  <si>
    <t>31,12,2016</t>
  </si>
  <si>
    <t>31,01,2017</t>
  </si>
  <si>
    <t>28,02,2017</t>
  </si>
  <si>
    <t>31,03,2017</t>
  </si>
  <si>
    <t>30,04,2017</t>
  </si>
  <si>
    <t>31,05,2017</t>
  </si>
  <si>
    <t>30,06,2017</t>
  </si>
  <si>
    <t>31,07,2017</t>
  </si>
  <si>
    <t>31,08,2017</t>
  </si>
  <si>
    <t>30,09,2017</t>
  </si>
  <si>
    <t>31,10,2017</t>
  </si>
  <si>
    <t>30,11,2017</t>
  </si>
  <si>
    <t>31,12,2017</t>
  </si>
  <si>
    <t>31,01,2018</t>
  </si>
  <si>
    <t>28,02,2018</t>
  </si>
  <si>
    <t>31,03,2018</t>
  </si>
  <si>
    <t>30,04,2018</t>
  </si>
  <si>
    <t>31,05,2018</t>
  </si>
  <si>
    <t>30,06,2018</t>
  </si>
  <si>
    <t>31,07,2018</t>
  </si>
  <si>
    <t>31,08,2018</t>
  </si>
  <si>
    <t>30,09,2018</t>
  </si>
  <si>
    <t>31,10,2018</t>
  </si>
  <si>
    <t>30,11,2018</t>
  </si>
  <si>
    <t>31,12,2018</t>
  </si>
  <si>
    <t>31,01,2019</t>
  </si>
  <si>
    <t>28,02,2019</t>
  </si>
  <si>
    <t>31,03,2019</t>
  </si>
  <si>
    <t>30,04,2019</t>
  </si>
  <si>
    <t>31,05,2019</t>
  </si>
  <si>
    <t>30,06,2019</t>
  </si>
  <si>
    <t>31,07,2019</t>
  </si>
  <si>
    <t>31,08,2019</t>
  </si>
  <si>
    <t>30,09,2019</t>
  </si>
  <si>
    <t>31,10,2019</t>
  </si>
  <si>
    <t>30,11,2019</t>
  </si>
  <si>
    <t>31,12,2019</t>
  </si>
  <si>
    <t>31,01,2020</t>
  </si>
  <si>
    <t>29,02,2020</t>
  </si>
  <si>
    <t>31,03,2020</t>
  </si>
  <si>
    <t>30,04,2020</t>
  </si>
  <si>
    <t>31,05,2020</t>
  </si>
  <si>
    <t>30,06,2020</t>
  </si>
  <si>
    <t>31,07,2020</t>
  </si>
  <si>
    <t>31,08,2020</t>
  </si>
  <si>
    <t>30,09,2020</t>
  </si>
  <si>
    <t>31,10,2020</t>
  </si>
  <si>
    <t>30,11,2020</t>
  </si>
  <si>
    <t>31,12,2020</t>
  </si>
  <si>
    <t>31,01,2021</t>
  </si>
  <si>
    <t>28,02,2021</t>
  </si>
  <si>
    <t>31,03,2021</t>
  </si>
  <si>
    <t>30,04,2021</t>
  </si>
  <si>
    <t>31,05,2021</t>
  </si>
  <si>
    <t>30,06,2021</t>
  </si>
  <si>
    <t>31,07,2021</t>
  </si>
  <si>
    <t>31,08,2021</t>
  </si>
  <si>
    <t>30,09,2021</t>
  </si>
  <si>
    <t>31,10,2021</t>
  </si>
  <si>
    <t>30,11,2021</t>
  </si>
  <si>
    <t>31,12,2021</t>
  </si>
  <si>
    <t>31,01,2022</t>
  </si>
  <si>
    <t>28,02,2022</t>
  </si>
  <si>
    <t>31,03,2022</t>
  </si>
  <si>
    <t>30,04,2022</t>
  </si>
  <si>
    <t>31,05,2022</t>
  </si>
  <si>
    <t>30,06,2022</t>
  </si>
  <si>
    <t>31,07,2022</t>
  </si>
  <si>
    <t>31,08,2022</t>
  </si>
  <si>
    <t>30,09,2022</t>
  </si>
  <si>
    <t>31,10,2022</t>
  </si>
  <si>
    <t>30,11,2022</t>
  </si>
  <si>
    <t>31,12,2022</t>
  </si>
  <si>
    <t>31,01,2023</t>
  </si>
  <si>
    <t>28,02,2023</t>
  </si>
  <si>
    <t>31,03,2023</t>
  </si>
  <si>
    <t>30,04,2023</t>
  </si>
  <si>
    <t>31,05,2023</t>
  </si>
  <si>
    <t>30,06,2023</t>
  </si>
  <si>
    <t>31,07,2023</t>
  </si>
  <si>
    <t>31,08,2023</t>
  </si>
  <si>
    <t>30,09,2023</t>
  </si>
  <si>
    <t>31,10,2023</t>
  </si>
  <si>
    <t>30,11,2023</t>
  </si>
  <si>
    <t>31,12,2023</t>
  </si>
  <si>
    <t>31,01,2024</t>
  </si>
  <si>
    <t>29,02,2024</t>
  </si>
  <si>
    <t>31,03,2024</t>
  </si>
  <si>
    <t>30,04,2024</t>
  </si>
  <si>
    <t>31,05,2024</t>
  </si>
  <si>
    <t>30,06,2024</t>
  </si>
  <si>
    <t>31,07,2024</t>
  </si>
  <si>
    <t>31,08,2024</t>
  </si>
  <si>
    <t>30,09,2024</t>
  </si>
  <si>
    <t>31,10,2024</t>
  </si>
  <si>
    <t>30,11,2024</t>
  </si>
  <si>
    <t>31,12,2024</t>
  </si>
  <si>
    <t>31,01,2025</t>
  </si>
  <si>
    <t>28,02,2025</t>
  </si>
  <si>
    <t>31,03,2025</t>
  </si>
  <si>
    <t>30,04,2025</t>
  </si>
  <si>
    <t>31,05,2025</t>
  </si>
  <si>
    <t>30,06,2025</t>
  </si>
  <si>
    <t>31,07,2025</t>
  </si>
  <si>
    <t>31,08,2025</t>
  </si>
  <si>
    <t>30,09,2025</t>
  </si>
  <si>
    <t>31,10,2025</t>
  </si>
  <si>
    <t>iWIG20</t>
  </si>
  <si>
    <t>treynor</t>
  </si>
  <si>
    <t>Omega (L = 0.2%)</t>
  </si>
  <si>
    <t>Annualized Sharpe Ratio (Rf=2.6%)</t>
  </si>
  <si>
    <t>jensen_alpha</t>
  </si>
  <si>
    <t>information</t>
  </si>
  <si>
    <t>Sortino Ratio (MAR = 0.219%)</t>
  </si>
  <si>
    <t>modigliani</t>
  </si>
  <si>
    <t>burke</t>
  </si>
  <si>
    <t>drowdown</t>
  </si>
  <si>
    <t>Calmar Ratio</t>
  </si>
  <si>
    <t>Nazwa wskaźnika</t>
  </si>
  <si>
    <t>Wartość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</si>
</sst>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%"/>
    <numFmt numFmtId="166" formatCode="0.000%"/>
    <numFmt numFmtId="167" formatCode="0.0000"/>
    <numFmt numFmtId="168" formatCode="0.00000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0" fillId="0" borderId="1" xfId="0" applyBorder="1"/>
    <xf numFmtId="166" fontId="0" fillId="2" borderId="1" xfId="1" applyNumberFormat="1" applyFont="1" applyFill="1" applyBorder="1" applyAlignment="1"/>
    <xf numFmtId="167" fontId="0" fillId="2" borderId="1" xfId="0" applyNumberFormat="1" applyFill="1" applyBorder="1"/>
    <xf numFmtId="0" fontId="0" fillId="2" borderId="1" xfId="0" applyFill="1" applyBorder="1"/>
    <xf numFmtId="166" fontId="0" fillId="3" borderId="1" xfId="1" applyNumberFormat="1" applyFont="1" applyFill="1" applyBorder="1" applyAlignment="1"/>
    <xf numFmtId="167" fontId="0" fillId="3" borderId="1" xfId="0" applyNumberFormat="1" applyFill="1" applyBorder="1"/>
    <xf numFmtId="0" fontId="0" fillId="3" borderId="1" xfId="0" applyFill="1" applyBorder="1"/>
    <xf numFmtId="166" fontId="0" fillId="4" borderId="1" xfId="1" applyNumberFormat="1" applyFont="1" applyFill="1" applyBorder="1" applyAlignment="1"/>
    <xf numFmtId="167" fontId="0" fillId="4" borderId="1" xfId="0" applyNumberFormat="1" applyFill="1" applyBorder="1"/>
    <xf numFmtId="0" fontId="0" fillId="4" borderId="1" xfId="0" applyFill="1" applyBorder="1"/>
    <xf numFmtId="166" fontId="0" fillId="5" borderId="1" xfId="1" applyNumberFormat="1" applyFont="1" applyFill="1" applyBorder="1" applyAlignment="1"/>
    <xf numFmtId="167" fontId="0" fillId="5" borderId="1" xfId="0" applyNumberFormat="1" applyFill="1" applyBorder="1"/>
    <xf numFmtId="0" fontId="0" fillId="5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1" xfId="0" applyBorder="1" applyAlignment="1">
      <alignment horizontal="center"/>
    </xf>
    <xf numFmtId="10" fontId="0" fillId="0" borderId="0" xfId="1" applyNumberFormat="1" applyFont="1"/>
    <xf numFmtId="9" fontId="0" fillId="0" borderId="0" xfId="1" applyFont="1"/>
    <xf numFmtId="0" fontId="0" fillId="6" borderId="0" xfId="0" applyFill="1"/>
    <xf numFmtId="168" fontId="2" fillId="6" borderId="1" xfId="0" applyNumberFormat="1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2" fillId="0" borderId="0" xfId="0" applyFont="1"/>
    <xf numFmtId="0" fontId="2" fillId="8" borderId="1" xfId="0" applyFont="1" applyFill="1" applyBorder="1"/>
    <xf numFmtId="166" fontId="0" fillId="0" borderId="0" xfId="1" applyNumberFormat="1" applyFont="1"/>
    <xf numFmtId="0" fontId="2" fillId="8" borderId="1" xfId="0" applyFont="1" applyFill="1" applyBorder="1" applyAlignment="1">
      <alignment horizontal="right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7" fontId="0" fillId="0" borderId="0" xfId="0" applyNumberFormat="1"/>
    <xf numFmtId="0" fontId="0" fillId="9" borderId="1" xfId="0" applyFill="1" applyBorder="1"/>
    <xf numFmtId="167" fontId="0" fillId="9" borderId="1" xfId="0" applyNumberFormat="1" applyFill="1" applyBorder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Stopy zwrotu dla akcji CD Projekt Red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Obliczenia!$G$1</c:f>
              <c:strCache>
                <c:ptCount val="1"/>
                <c:pt idx="0">
                  <c:v>iCDPR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Obliczenia!$A$2:$A$131</c:f>
              <c:strCache>
                <c:ptCount val="130"/>
                <c:pt idx="0">
                  <c:v>31,01,2015</c:v>
                </c:pt>
                <c:pt idx="1">
                  <c:v>28,02,2015</c:v>
                </c:pt>
                <c:pt idx="2">
                  <c:v>31,03,2015</c:v>
                </c:pt>
                <c:pt idx="3">
                  <c:v>30,04,2015</c:v>
                </c:pt>
                <c:pt idx="4">
                  <c:v>31,05,2015</c:v>
                </c:pt>
                <c:pt idx="5">
                  <c:v>30,06,2015</c:v>
                </c:pt>
                <c:pt idx="6">
                  <c:v>31,07,2015</c:v>
                </c:pt>
                <c:pt idx="7">
                  <c:v>31,08,2015</c:v>
                </c:pt>
                <c:pt idx="8">
                  <c:v>30,09,2015</c:v>
                </c:pt>
                <c:pt idx="9">
                  <c:v>31,10,2015</c:v>
                </c:pt>
                <c:pt idx="10">
                  <c:v>30,11,2015</c:v>
                </c:pt>
                <c:pt idx="11">
                  <c:v>31,12,2015</c:v>
                </c:pt>
                <c:pt idx="12">
                  <c:v>31,01,2016</c:v>
                </c:pt>
                <c:pt idx="13">
                  <c:v>29,02,2016</c:v>
                </c:pt>
                <c:pt idx="14">
                  <c:v>31,03,2016</c:v>
                </c:pt>
                <c:pt idx="15">
                  <c:v>30,04,2016</c:v>
                </c:pt>
                <c:pt idx="16">
                  <c:v>31,05,2016</c:v>
                </c:pt>
                <c:pt idx="17">
                  <c:v>30,06,2016</c:v>
                </c:pt>
                <c:pt idx="18">
                  <c:v>31,07,2016</c:v>
                </c:pt>
                <c:pt idx="19">
                  <c:v>31,08,2016</c:v>
                </c:pt>
                <c:pt idx="20">
                  <c:v>30,09,2016</c:v>
                </c:pt>
                <c:pt idx="21">
                  <c:v>31,10,2016</c:v>
                </c:pt>
                <c:pt idx="22">
                  <c:v>30,11,2016</c:v>
                </c:pt>
                <c:pt idx="23">
                  <c:v>31,12,2016</c:v>
                </c:pt>
                <c:pt idx="24">
                  <c:v>31,01,2017</c:v>
                </c:pt>
                <c:pt idx="25">
                  <c:v>28,02,2017</c:v>
                </c:pt>
                <c:pt idx="26">
                  <c:v>31,03,2017</c:v>
                </c:pt>
                <c:pt idx="27">
                  <c:v>30,04,2017</c:v>
                </c:pt>
                <c:pt idx="28">
                  <c:v>31,05,2017</c:v>
                </c:pt>
                <c:pt idx="29">
                  <c:v>30,06,2017</c:v>
                </c:pt>
                <c:pt idx="30">
                  <c:v>31,07,2017</c:v>
                </c:pt>
                <c:pt idx="31">
                  <c:v>31,08,2017</c:v>
                </c:pt>
                <c:pt idx="32">
                  <c:v>30,09,2017</c:v>
                </c:pt>
                <c:pt idx="33">
                  <c:v>31,10,2017</c:v>
                </c:pt>
                <c:pt idx="34">
                  <c:v>30,11,2017</c:v>
                </c:pt>
                <c:pt idx="35">
                  <c:v>31,12,2017</c:v>
                </c:pt>
                <c:pt idx="36">
                  <c:v>31,01,2018</c:v>
                </c:pt>
                <c:pt idx="37">
                  <c:v>28,02,2018</c:v>
                </c:pt>
                <c:pt idx="38">
                  <c:v>31,03,2018</c:v>
                </c:pt>
                <c:pt idx="39">
                  <c:v>30,04,2018</c:v>
                </c:pt>
                <c:pt idx="40">
                  <c:v>31,05,2018</c:v>
                </c:pt>
                <c:pt idx="41">
                  <c:v>30,06,2018</c:v>
                </c:pt>
                <c:pt idx="42">
                  <c:v>31,07,2018</c:v>
                </c:pt>
                <c:pt idx="43">
                  <c:v>31,08,2018</c:v>
                </c:pt>
                <c:pt idx="44">
                  <c:v>30,09,2018</c:v>
                </c:pt>
                <c:pt idx="45">
                  <c:v>31,10,2018</c:v>
                </c:pt>
                <c:pt idx="46">
                  <c:v>30,11,2018</c:v>
                </c:pt>
                <c:pt idx="47">
                  <c:v>31,12,2018</c:v>
                </c:pt>
                <c:pt idx="48">
                  <c:v>31,01,2019</c:v>
                </c:pt>
                <c:pt idx="49">
                  <c:v>28,02,2019</c:v>
                </c:pt>
                <c:pt idx="50">
                  <c:v>31,03,2019</c:v>
                </c:pt>
                <c:pt idx="51">
                  <c:v>30,04,2019</c:v>
                </c:pt>
                <c:pt idx="52">
                  <c:v>31,05,2019</c:v>
                </c:pt>
                <c:pt idx="53">
                  <c:v>30,06,2019</c:v>
                </c:pt>
                <c:pt idx="54">
                  <c:v>31,07,2019</c:v>
                </c:pt>
                <c:pt idx="55">
                  <c:v>31,08,2019</c:v>
                </c:pt>
                <c:pt idx="56">
                  <c:v>30,09,2019</c:v>
                </c:pt>
                <c:pt idx="57">
                  <c:v>31,10,2019</c:v>
                </c:pt>
                <c:pt idx="58">
                  <c:v>30,11,2019</c:v>
                </c:pt>
                <c:pt idx="59">
                  <c:v>31,12,2019</c:v>
                </c:pt>
                <c:pt idx="60">
                  <c:v>31,01,2020</c:v>
                </c:pt>
                <c:pt idx="61">
                  <c:v>29,02,2020</c:v>
                </c:pt>
                <c:pt idx="62">
                  <c:v>31,03,2020</c:v>
                </c:pt>
                <c:pt idx="63">
                  <c:v>30,04,2020</c:v>
                </c:pt>
                <c:pt idx="64">
                  <c:v>31,05,2020</c:v>
                </c:pt>
                <c:pt idx="65">
                  <c:v>30,06,2020</c:v>
                </c:pt>
                <c:pt idx="66">
                  <c:v>31,07,2020</c:v>
                </c:pt>
                <c:pt idx="67">
                  <c:v>31,08,2020</c:v>
                </c:pt>
                <c:pt idx="68">
                  <c:v>30,09,2020</c:v>
                </c:pt>
                <c:pt idx="69">
                  <c:v>31,10,2020</c:v>
                </c:pt>
                <c:pt idx="70">
                  <c:v>30,11,2020</c:v>
                </c:pt>
                <c:pt idx="71">
                  <c:v>31,12,2020</c:v>
                </c:pt>
                <c:pt idx="72">
                  <c:v>31,01,2021</c:v>
                </c:pt>
                <c:pt idx="73">
                  <c:v>28,02,2021</c:v>
                </c:pt>
                <c:pt idx="74">
                  <c:v>31,03,2021</c:v>
                </c:pt>
                <c:pt idx="75">
                  <c:v>30,04,2021</c:v>
                </c:pt>
                <c:pt idx="76">
                  <c:v>31,05,2021</c:v>
                </c:pt>
                <c:pt idx="77">
                  <c:v>30,06,2021</c:v>
                </c:pt>
                <c:pt idx="78">
                  <c:v>31,07,2021</c:v>
                </c:pt>
                <c:pt idx="79">
                  <c:v>31,08,2021</c:v>
                </c:pt>
                <c:pt idx="80">
                  <c:v>30,09,2021</c:v>
                </c:pt>
                <c:pt idx="81">
                  <c:v>31,10,2021</c:v>
                </c:pt>
                <c:pt idx="82">
                  <c:v>30,11,2021</c:v>
                </c:pt>
                <c:pt idx="83">
                  <c:v>31,12,2021</c:v>
                </c:pt>
                <c:pt idx="84">
                  <c:v>31,01,2022</c:v>
                </c:pt>
                <c:pt idx="85">
                  <c:v>28,02,2022</c:v>
                </c:pt>
                <c:pt idx="86">
                  <c:v>31,03,2022</c:v>
                </c:pt>
                <c:pt idx="87">
                  <c:v>30,04,2022</c:v>
                </c:pt>
                <c:pt idx="88">
                  <c:v>31,05,2022</c:v>
                </c:pt>
                <c:pt idx="89">
                  <c:v>30,06,2022</c:v>
                </c:pt>
                <c:pt idx="90">
                  <c:v>31,07,2022</c:v>
                </c:pt>
                <c:pt idx="91">
                  <c:v>31,08,2022</c:v>
                </c:pt>
                <c:pt idx="92">
                  <c:v>30,09,2022</c:v>
                </c:pt>
                <c:pt idx="93">
                  <c:v>31,10,2022</c:v>
                </c:pt>
                <c:pt idx="94">
                  <c:v>30,11,2022</c:v>
                </c:pt>
                <c:pt idx="95">
                  <c:v>31,12,2022</c:v>
                </c:pt>
                <c:pt idx="96">
                  <c:v>31,01,2023</c:v>
                </c:pt>
                <c:pt idx="97">
                  <c:v>28,02,2023</c:v>
                </c:pt>
                <c:pt idx="98">
                  <c:v>31,03,2023</c:v>
                </c:pt>
                <c:pt idx="99">
                  <c:v>30,04,2023</c:v>
                </c:pt>
                <c:pt idx="100">
                  <c:v>31,05,2023</c:v>
                </c:pt>
                <c:pt idx="101">
                  <c:v>30,06,2023</c:v>
                </c:pt>
                <c:pt idx="102">
                  <c:v>31,07,2023</c:v>
                </c:pt>
                <c:pt idx="103">
                  <c:v>31,08,2023</c:v>
                </c:pt>
                <c:pt idx="104">
                  <c:v>30,09,2023</c:v>
                </c:pt>
                <c:pt idx="105">
                  <c:v>31,10,2023</c:v>
                </c:pt>
                <c:pt idx="106">
                  <c:v>30,11,2023</c:v>
                </c:pt>
                <c:pt idx="107">
                  <c:v>31,12,2023</c:v>
                </c:pt>
                <c:pt idx="108">
                  <c:v>31,01,2024</c:v>
                </c:pt>
                <c:pt idx="109">
                  <c:v>29,02,2024</c:v>
                </c:pt>
                <c:pt idx="110">
                  <c:v>31,03,2024</c:v>
                </c:pt>
                <c:pt idx="111">
                  <c:v>30,04,2024</c:v>
                </c:pt>
                <c:pt idx="112">
                  <c:v>31,05,2024</c:v>
                </c:pt>
                <c:pt idx="113">
                  <c:v>30,06,2024</c:v>
                </c:pt>
                <c:pt idx="114">
                  <c:v>31,07,2024</c:v>
                </c:pt>
                <c:pt idx="115">
                  <c:v>31,08,2024</c:v>
                </c:pt>
                <c:pt idx="116">
                  <c:v>30,09,2024</c:v>
                </c:pt>
                <c:pt idx="117">
                  <c:v>31,10,2024</c:v>
                </c:pt>
                <c:pt idx="118">
                  <c:v>30,11,2024</c:v>
                </c:pt>
                <c:pt idx="119">
                  <c:v>31,12,2024</c:v>
                </c:pt>
                <c:pt idx="120">
                  <c:v>31,01,2025</c:v>
                </c:pt>
                <c:pt idx="121">
                  <c:v>28,02,2025</c:v>
                </c:pt>
                <c:pt idx="122">
                  <c:v>31,03,2025</c:v>
                </c:pt>
                <c:pt idx="123">
                  <c:v>30,04,2025</c:v>
                </c:pt>
                <c:pt idx="124">
                  <c:v>31,05,2025</c:v>
                </c:pt>
                <c:pt idx="125">
                  <c:v>30,06,2025</c:v>
                </c:pt>
                <c:pt idx="126">
                  <c:v>31,07,2025</c:v>
                </c:pt>
                <c:pt idx="127">
                  <c:v>31,08,2025</c:v>
                </c:pt>
                <c:pt idx="128">
                  <c:v>30,09,2025</c:v>
                </c:pt>
                <c:pt idx="129">
                  <c:v>31,10,2025</c:v>
                </c:pt>
              </c:strCache>
            </c:strRef>
          </c:cat>
          <c:val>
            <c:numRef>
              <c:f>Obliczenia!$G$2:$G$131</c:f>
              <c:numCache>
                <c:formatCode>0.0000%</c:formatCode>
                <c:ptCount val="130"/>
                <c:pt idx="1">
                  <c:v>8.5693787481768008E-2</c:v>
                </c:pt>
                <c:pt idx="2">
                  <c:v>0.10890078761721675</c:v>
                </c:pt>
                <c:pt idx="3">
                  <c:v>5.0040123215108055E-2</c:v>
                </c:pt>
                <c:pt idx="4">
                  <c:v>0.15832823159468523</c:v>
                </c:pt>
                <c:pt idx="5">
                  <c:v>-1.9137704968614132E-2</c:v>
                </c:pt>
                <c:pt idx="6">
                  <c:v>0.10828540631438015</c:v>
                </c:pt>
                <c:pt idx="7">
                  <c:v>-8.6647744526945319E-2</c:v>
                </c:pt>
                <c:pt idx="8">
                  <c:v>0.10274430563940602</c:v>
                </c:pt>
                <c:pt idx="9">
                  <c:v>-1.2343295984950403E-2</c:v>
                </c:pt>
                <c:pt idx="10">
                  <c:v>-0.16334940892701072</c:v>
                </c:pt>
                <c:pt idx="11">
                  <c:v>-1.9690805591470437E-2</c:v>
                </c:pt>
                <c:pt idx="12">
                  <c:v>4.1548152795024766E-2</c:v>
                </c:pt>
                <c:pt idx="13">
                  <c:v>-3.9118090326660648E-3</c:v>
                </c:pt>
                <c:pt idx="14">
                  <c:v>0.11098868476627295</c:v>
                </c:pt>
                <c:pt idx="15">
                  <c:v>-9.7598816011223062E-3</c:v>
                </c:pt>
                <c:pt idx="16">
                  <c:v>5.3205486718286989E-2</c:v>
                </c:pt>
                <c:pt idx="17">
                  <c:v>2.0609436703758737E-2</c:v>
                </c:pt>
                <c:pt idx="18">
                  <c:v>0.2390630961443064</c:v>
                </c:pt>
                <c:pt idx="19">
                  <c:v>0.19992584421174442</c:v>
                </c:pt>
                <c:pt idx="20">
                  <c:v>-6.4126075849295819E-2</c:v>
                </c:pt>
                <c:pt idx="21">
                  <c:v>5.0093621963394526E-4</c:v>
                </c:pt>
                <c:pt idx="22">
                  <c:v>0.17927551202326109</c:v>
                </c:pt>
                <c:pt idx="23">
                  <c:v>8.9919914934821585E-2</c:v>
                </c:pt>
                <c:pt idx="24">
                  <c:v>0.11649325809582871</c:v>
                </c:pt>
                <c:pt idx="25">
                  <c:v>0.18333622635219907</c:v>
                </c:pt>
                <c:pt idx="26">
                  <c:v>5.1853007034498341E-2</c:v>
                </c:pt>
                <c:pt idx="27">
                  <c:v>-9.0354293734645708E-2</c:v>
                </c:pt>
                <c:pt idx="28">
                  <c:v>0.16665304420717011</c:v>
                </c:pt>
                <c:pt idx="29">
                  <c:v>8.6237493179448219E-2</c:v>
                </c:pt>
                <c:pt idx="30">
                  <c:v>5.3456077938153291E-3</c:v>
                </c:pt>
                <c:pt idx="31">
                  <c:v>-3.6511624280726941E-2</c:v>
                </c:pt>
                <c:pt idx="32">
                  <c:v>0.33212961911207906</c:v>
                </c:pt>
                <c:pt idx="33">
                  <c:v>3.6663764699976231E-2</c:v>
                </c:pt>
                <c:pt idx="34">
                  <c:v>-0.17233401077764751</c:v>
                </c:pt>
                <c:pt idx="35">
                  <c:v>-4.5396674958582829E-2</c:v>
                </c:pt>
                <c:pt idx="36">
                  <c:v>0.17892282609462748</c:v>
                </c:pt>
                <c:pt idx="37">
                  <c:v>-8.0786731715441401E-2</c:v>
                </c:pt>
                <c:pt idx="38">
                  <c:v>2.2176910598222903E-2</c:v>
                </c:pt>
                <c:pt idx="39">
                  <c:v>0.13163418098007201</c:v>
                </c:pt>
                <c:pt idx="40">
                  <c:v>0.1651587116734505</c:v>
                </c:pt>
                <c:pt idx="41">
                  <c:v>9.4547603838473923E-2</c:v>
                </c:pt>
                <c:pt idx="42">
                  <c:v>0.19940722153089299</c:v>
                </c:pt>
                <c:pt idx="43">
                  <c:v>4.2124926300671148E-2</c:v>
                </c:pt>
                <c:pt idx="44">
                  <c:v>-9.5168144437279625E-2</c:v>
                </c:pt>
                <c:pt idx="45">
                  <c:v>-0.16819093287428108</c:v>
                </c:pt>
                <c:pt idx="46">
                  <c:v>-0.10730044573351323</c:v>
                </c:pt>
                <c:pt idx="47">
                  <c:v>2.3641168620757873E-2</c:v>
                </c:pt>
                <c:pt idx="48">
                  <c:v>0.26616005942890414</c:v>
                </c:pt>
                <c:pt idx="49">
                  <c:v>4.8150948552154818E-4</c:v>
                </c:pt>
                <c:pt idx="50">
                  <c:v>5.0833065799232198E-2</c:v>
                </c:pt>
                <c:pt idx="51">
                  <c:v>7.18439599301363E-2</c:v>
                </c:pt>
                <c:pt idx="52">
                  <c:v>-2.8847743737741231E-2</c:v>
                </c:pt>
                <c:pt idx="53">
                  <c:v>3.5465561909510328E-2</c:v>
                </c:pt>
                <c:pt idx="54">
                  <c:v>6.6046500364464203E-2</c:v>
                </c:pt>
                <c:pt idx="55">
                  <c:v>9.5328178375741063E-2</c:v>
                </c:pt>
                <c:pt idx="56">
                  <c:v>-3.8673041797298427E-2</c:v>
                </c:pt>
                <c:pt idx="57">
                  <c:v>3.5092069935171881E-2</c:v>
                </c:pt>
                <c:pt idx="58">
                  <c:v>4.0426715278562085E-2</c:v>
                </c:pt>
                <c:pt idx="59">
                  <c:v>6.2736105433411557E-2</c:v>
                </c:pt>
                <c:pt idx="60">
                  <c:v>7.5192297560588584E-3</c:v>
                </c:pt>
                <c:pt idx="61">
                  <c:v>-1.1094796754586642E-2</c:v>
                </c:pt>
                <c:pt idx="62">
                  <c:v>3.7378601359711418E-2</c:v>
                </c:pt>
                <c:pt idx="63">
                  <c:v>0.21263282903886083</c:v>
                </c:pt>
                <c:pt idx="64">
                  <c:v>0.12148708783968391</c:v>
                </c:pt>
                <c:pt idx="65">
                  <c:v>-2.2284106566422671E-2</c:v>
                </c:pt>
                <c:pt idx="66">
                  <c:v>1.7815729928710146E-2</c:v>
                </c:pt>
                <c:pt idx="67">
                  <c:v>8.6914121280033826E-2</c:v>
                </c:pt>
                <c:pt idx="68">
                  <c:v>-4.6906152331734639E-2</c:v>
                </c:pt>
                <c:pt idx="69">
                  <c:v>-0.22112267370998795</c:v>
                </c:pt>
                <c:pt idx="70">
                  <c:v>0.14952524375343185</c:v>
                </c:pt>
                <c:pt idx="71">
                  <c:v>-0.34917031266514575</c:v>
                </c:pt>
                <c:pt idx="72">
                  <c:v>0.10527030272053597</c:v>
                </c:pt>
                <c:pt idx="73">
                  <c:v>-0.25456255299035446</c:v>
                </c:pt>
                <c:pt idx="74">
                  <c:v>-0.21671464066439294</c:v>
                </c:pt>
                <c:pt idx="75">
                  <c:v>-8.9962951482381578E-2</c:v>
                </c:pt>
                <c:pt idx="76">
                  <c:v>-2.9542118974314087E-3</c:v>
                </c:pt>
                <c:pt idx="77">
                  <c:v>9.2099672364224602E-2</c:v>
                </c:pt>
                <c:pt idx="78">
                  <c:v>-1.5144010154500352E-3</c:v>
                </c:pt>
                <c:pt idx="79">
                  <c:v>-8.715068341104526E-2</c:v>
                </c:pt>
                <c:pt idx="80">
                  <c:v>0.12465593345023077</c:v>
                </c:pt>
                <c:pt idx="81">
                  <c:v>-9.8087039031950485E-2</c:v>
                </c:pt>
                <c:pt idx="82">
                  <c:v>5.9288279219809968E-2</c:v>
                </c:pt>
                <c:pt idx="83">
                  <c:v>4.4524773091779185E-2</c:v>
                </c:pt>
                <c:pt idx="84">
                  <c:v>-6.8887298067877287E-2</c:v>
                </c:pt>
                <c:pt idx="85">
                  <c:v>-6.6950432357558834E-2</c:v>
                </c:pt>
                <c:pt idx="86">
                  <c:v>3.1219253297572469E-2</c:v>
                </c:pt>
                <c:pt idx="87">
                  <c:v>-0.36193543640361053</c:v>
                </c:pt>
                <c:pt idx="88">
                  <c:v>-0.10738472451595185</c:v>
                </c:pt>
                <c:pt idx="89">
                  <c:v>-0.12722664243776441</c:v>
                </c:pt>
                <c:pt idx="90">
                  <c:v>-4.1979076207812549E-2</c:v>
                </c:pt>
                <c:pt idx="91">
                  <c:v>-7.6525823498009099E-2</c:v>
                </c:pt>
                <c:pt idx="92">
                  <c:v>0.17492533037898522</c:v>
                </c:pt>
                <c:pt idx="93">
                  <c:v>0.23780054233769107</c:v>
                </c:pt>
                <c:pt idx="94">
                  <c:v>3.0076208298179335E-2</c:v>
                </c:pt>
                <c:pt idx="95">
                  <c:v>-1.0281439887845467E-2</c:v>
                </c:pt>
                <c:pt idx="96">
                  <c:v>7.201137452038521E-2</c:v>
                </c:pt>
                <c:pt idx="97">
                  <c:v>-5.0952726058459998E-2</c:v>
                </c:pt>
                <c:pt idx="98">
                  <c:v>-0.17432297344703221</c:v>
                </c:pt>
                <c:pt idx="99">
                  <c:v>1.8542159138541812E-2</c:v>
                </c:pt>
                <c:pt idx="100">
                  <c:v>6.7402964956502831E-2</c:v>
                </c:pt>
                <c:pt idx="101">
                  <c:v>0.25277417082653292</c:v>
                </c:pt>
                <c:pt idx="102">
                  <c:v>5.3438903073130102E-2</c:v>
                </c:pt>
                <c:pt idx="103">
                  <c:v>-0.10173627875143899</c:v>
                </c:pt>
                <c:pt idx="104">
                  <c:v>-0.16424946294592099</c:v>
                </c:pt>
                <c:pt idx="105">
                  <c:v>-0.17595153943173719</c:v>
                </c:pt>
                <c:pt idx="106">
                  <c:v>3.6007898905160207E-2</c:v>
                </c:pt>
                <c:pt idx="107">
                  <c:v>5.4967228220330837E-2</c:v>
                </c:pt>
                <c:pt idx="108">
                  <c:v>-9.3356115058505454E-2</c:v>
                </c:pt>
                <c:pt idx="109">
                  <c:v>4.6169443340685387E-2</c:v>
                </c:pt>
                <c:pt idx="110">
                  <c:v>6.3569832298180529E-2</c:v>
                </c:pt>
                <c:pt idx="111">
                  <c:v>1.3597003968086859E-2</c:v>
                </c:pt>
                <c:pt idx="112">
                  <c:v>9.4925423592281691E-2</c:v>
                </c:pt>
                <c:pt idx="113">
                  <c:v>7.1536547714426774E-2</c:v>
                </c:pt>
                <c:pt idx="114">
                  <c:v>0.13510387390036976</c:v>
                </c:pt>
                <c:pt idx="115">
                  <c:v>0.14081519478321708</c:v>
                </c:pt>
                <c:pt idx="116">
                  <c:v>-5.0118086183376168E-2</c:v>
                </c:pt>
                <c:pt idx="117">
                  <c:v>-8.0064319497798575E-2</c:v>
                </c:pt>
                <c:pt idx="118">
                  <c:v>3.9336691137764231E-2</c:v>
                </c:pt>
                <c:pt idx="119">
                  <c:v>0.13543617009753101</c:v>
                </c:pt>
                <c:pt idx="120">
                  <c:v>9.7706861299368397E-2</c:v>
                </c:pt>
                <c:pt idx="121">
                  <c:v>4.8542454856627434E-2</c:v>
                </c:pt>
                <c:pt idx="122">
                  <c:v>-4.5234156181072072E-2</c:v>
                </c:pt>
                <c:pt idx="123">
                  <c:v>9.4969370419676916E-2</c:v>
                </c:pt>
                <c:pt idx="124">
                  <c:v>-4.8834335707993171E-2</c:v>
                </c:pt>
                <c:pt idx="125">
                  <c:v>0.2395025953242288</c:v>
                </c:pt>
                <c:pt idx="126">
                  <c:v>-0.11139323755761248</c:v>
                </c:pt>
                <c:pt idx="127">
                  <c:v>3.1796529173798056E-3</c:v>
                </c:pt>
                <c:pt idx="128">
                  <c:v>7.0843010775112875E-2</c:v>
                </c:pt>
                <c:pt idx="129">
                  <c:v>-6.3725543006248886E-2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0-476A-BFDC-37F5C2E7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909840"/>
        <c:axId val="1526906480"/>
      </c:lineChart>
      <c:dateAx>
        <c:axId val="152690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906480"/>
        <c:crosses val="autoZero"/>
        <c:auto val="0"/>
        <c:lblOffset val="100"/>
        <c:baseTimeUnit val="months"/>
      </c:dateAx>
      <c:valAx>
        <c:axId val="15269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90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Stopy zwrotu dla kursu GBP/PLN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Obliczenia!$H$1</c:f>
              <c:strCache>
                <c:ptCount val="1"/>
                <c:pt idx="0">
                  <c:v>iGBPPLN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Obliczenia!$H$2:$H$131</c:f>
              <c:numCache>
                <c:formatCode>0.0000%</c:formatCode>
                <c:ptCount val="130"/>
                <c:pt idx="1">
                  <c:v>2.5247428430014346E-2</c:v>
                </c:pt>
                <c:pt idx="2">
                  <c:v>-1.6789635034768796E-2</c:v>
                </c:pt>
                <c:pt idx="3">
                  <c:v>-1.6830412684586061E-2</c:v>
                </c:pt>
                <c:pt idx="4">
                  <c:v>3.4161887365558953E-2</c:v>
                </c:pt>
                <c:pt idx="5">
                  <c:v>3.2273926001059654E-2</c:v>
                </c:pt>
                <c:pt idx="6">
                  <c:v>-3.3063595715513133E-3</c:v>
                </c:pt>
                <c:pt idx="7">
                  <c:v>-1.7051703982290854E-2</c:v>
                </c:pt>
                <c:pt idx="8">
                  <c:v>-7.4577221964271046E-3</c:v>
                </c:pt>
                <c:pt idx="9">
                  <c:v>3.599641415681E-2</c:v>
                </c:pt>
                <c:pt idx="10">
                  <c:v>2.0539213842069214E-2</c:v>
                </c:pt>
                <c:pt idx="11">
                  <c:v>-5.0178417902107322E-2</c:v>
                </c:pt>
                <c:pt idx="12">
                  <c:v>4.9058123946631978E-3</c:v>
                </c:pt>
                <c:pt idx="13">
                  <c:v>-4.3251200247215536E-2</c:v>
                </c:pt>
                <c:pt idx="14">
                  <c:v>-3.8753674192579718E-2</c:v>
                </c:pt>
                <c:pt idx="15">
                  <c:v>4.1358318818233923E-2</c:v>
                </c:pt>
                <c:pt idx="16">
                  <c:v>2.2484799102509896E-2</c:v>
                </c:pt>
                <c:pt idx="17">
                  <c:v>-8.6987013201002092E-2</c:v>
                </c:pt>
                <c:pt idx="18">
                  <c:v>-1.426650513538999E-2</c:v>
                </c:pt>
                <c:pt idx="19">
                  <c:v>-4.14300444306281E-3</c:v>
                </c:pt>
                <c:pt idx="20">
                  <c:v>-3.5892987723929043E-2</c:v>
                </c:pt>
                <c:pt idx="21">
                  <c:v>-3.1368700360955647E-2</c:v>
                </c:pt>
                <c:pt idx="22">
                  <c:v>9.0938921667822706E-2</c:v>
                </c:pt>
                <c:pt idx="23">
                  <c:v>-1.9795936422744038E-2</c:v>
                </c:pt>
                <c:pt idx="24">
                  <c:v>-2.4013381693161213E-2</c:v>
                </c:pt>
                <c:pt idx="25">
                  <c:v>9.1311880064193229E-4</c:v>
                </c:pt>
                <c:pt idx="26">
                  <c:v>-1.4286142814063181E-2</c:v>
                </c:pt>
                <c:pt idx="27">
                  <c:v>1.1219926688919864E-2</c:v>
                </c:pt>
                <c:pt idx="28">
                  <c:v>-4.8062304217058191E-2</c:v>
                </c:pt>
                <c:pt idx="29">
                  <c:v>7.769238727357736E-3</c:v>
                </c:pt>
                <c:pt idx="30">
                  <c:v>-1.6393073424798347E-2</c:v>
                </c:pt>
                <c:pt idx="31">
                  <c:v>-3.0211801514405931E-2</c:v>
                </c:pt>
                <c:pt idx="32">
                  <c:v>5.9701175071681246E-2</c:v>
                </c:pt>
                <c:pt idx="33">
                  <c:v>-1.1382106273857277E-2</c:v>
                </c:pt>
                <c:pt idx="34">
                  <c:v>-1.201128155031185E-2</c:v>
                </c:pt>
                <c:pt idx="35">
                  <c:v>-1.6466254568325116E-2</c:v>
                </c:pt>
                <c:pt idx="36">
                  <c:v>1.0801968210694336E-2</c:v>
                </c:pt>
                <c:pt idx="37">
                  <c:v>-8.0984768945080755E-3</c:v>
                </c:pt>
                <c:pt idx="38">
                  <c:v>1.8441251614014553E-2</c:v>
                </c:pt>
                <c:pt idx="39">
                  <c:v>6.7886272851052859E-3</c:v>
                </c:pt>
                <c:pt idx="40">
                  <c:v>1.5400986028959094E-2</c:v>
                </c:pt>
                <c:pt idx="41">
                  <c:v>7.5912133101323333E-3</c:v>
                </c:pt>
                <c:pt idx="42">
                  <c:v>-2.965997742925932E-2</c:v>
                </c:pt>
                <c:pt idx="43">
                  <c:v>1.1077980109748945E-3</c:v>
                </c:pt>
                <c:pt idx="44">
                  <c:v>1.1029614526157564E-4</c:v>
                </c:pt>
                <c:pt idx="45">
                  <c:v>1.9635280868424393E-2</c:v>
                </c:pt>
                <c:pt idx="46">
                  <c:v>-1.4065565312224771E-2</c:v>
                </c:pt>
                <c:pt idx="47">
                  <c:v>-1.2697320549339147E-2</c:v>
                </c:pt>
                <c:pt idx="48">
                  <c:v>2.274937399218567E-2</c:v>
                </c:pt>
                <c:pt idx="49">
                  <c:v>2.802307588596565E-2</c:v>
                </c:pt>
                <c:pt idx="50">
                  <c:v>-3.6181706163266303E-3</c:v>
                </c:pt>
                <c:pt idx="51">
                  <c:v>-3.8400143336854392E-3</c:v>
                </c:pt>
                <c:pt idx="52">
                  <c:v>-2.7920034888529094E-2</c:v>
                </c:pt>
                <c:pt idx="53">
                  <c:v>-2.1739533051211766E-2</c:v>
                </c:pt>
                <c:pt idx="54">
                  <c:v>-6.725510028042273E-3</c:v>
                </c:pt>
                <c:pt idx="55">
                  <c:v>2.793243748999431E-2</c:v>
                </c:pt>
                <c:pt idx="56">
                  <c:v>1.7793109642871546E-2</c:v>
                </c:pt>
                <c:pt idx="57">
                  <c:v>2.7650711366034989E-3</c:v>
                </c:pt>
                <c:pt idx="58">
                  <c:v>2.4373783100971585E-2</c:v>
                </c:pt>
                <c:pt idx="59">
                  <c:v>-6.9236920302363754E-3</c:v>
                </c:pt>
                <c:pt idx="60">
                  <c:v>1.6857642873107322E-2</c:v>
                </c:pt>
                <c:pt idx="61">
                  <c:v>-1.7229449589595311E-2</c:v>
                </c:pt>
                <c:pt idx="62">
                  <c:v>2.1388149144867561E-2</c:v>
                </c:pt>
                <c:pt idx="63">
                  <c:v>1.7378821502901008E-2</c:v>
                </c:pt>
                <c:pt idx="64">
                  <c:v>-5.4670643059991975E-2</c:v>
                </c:pt>
                <c:pt idx="65">
                  <c:v>-8.2208474409922964E-3</c:v>
                </c:pt>
                <c:pt idx="66">
                  <c:v>-1.2251068914178017E-3</c:v>
                </c:pt>
                <c:pt idx="67">
                  <c:v>4.1746915113911442E-3</c:v>
                </c:pt>
                <c:pt idx="68">
                  <c:v>1.3719639752998326E-2</c:v>
                </c:pt>
                <c:pt idx="69">
                  <c:v>2.5837336574491433E-2</c:v>
                </c:pt>
                <c:pt idx="70">
                  <c:v>-2.3304088862557658E-2</c:v>
                </c:pt>
                <c:pt idx="71">
                  <c:v>2.0196871817156861E-2</c:v>
                </c:pt>
                <c:pt idx="72">
                  <c:v>-6.4259296299329068E-4</c:v>
                </c:pt>
                <c:pt idx="73">
                  <c:v>2.2605065214398389E-2</c:v>
                </c:pt>
                <c:pt idx="74">
                  <c:v>4.2139453894049557E-2</c:v>
                </c:pt>
                <c:pt idx="75">
                  <c:v>-3.8679491009373665E-2</c:v>
                </c:pt>
                <c:pt idx="76">
                  <c:v>-6.2131391683106904E-3</c:v>
                </c:pt>
                <c:pt idx="77">
                  <c:v>1.2590933933511425E-2</c:v>
                </c:pt>
                <c:pt idx="78">
                  <c:v>1.5775302700103553E-2</c:v>
                </c:pt>
                <c:pt idx="79">
                  <c:v>-1.5902422831644968E-2</c:v>
                </c:pt>
                <c:pt idx="80">
                  <c:v>1.7454977674183494E-2</c:v>
                </c:pt>
                <c:pt idx="81">
                  <c:v>1.8155777525585646E-2</c:v>
                </c:pt>
                <c:pt idx="82">
                  <c:v>7.4679185001515149E-4</c:v>
                </c:pt>
                <c:pt idx="83">
                  <c:v>-1.7800409421253318E-3</c:v>
                </c:pt>
                <c:pt idx="84">
                  <c:v>4.9805288617472488E-3</c:v>
                </c:pt>
                <c:pt idx="85">
                  <c:v>2.5510204843981921E-2</c:v>
                </c:pt>
                <c:pt idx="86">
                  <c:v>-1.9243099616778149E-2</c:v>
                </c:pt>
                <c:pt idx="87">
                  <c:v>9.9173114553456655E-3</c:v>
                </c:pt>
                <c:pt idx="88">
                  <c:v>-3.4747271716502347E-2</c:v>
                </c:pt>
                <c:pt idx="89">
                  <c:v>1.4542330349769152E-2</c:v>
                </c:pt>
                <c:pt idx="90">
                  <c:v>3.3581469495527587E-2</c:v>
                </c:pt>
                <c:pt idx="91">
                  <c:v>-3.3524704219015239E-2</c:v>
                </c:pt>
                <c:pt idx="92">
                  <c:v>1.3527704141722991E-2</c:v>
                </c:pt>
                <c:pt idx="93">
                  <c:v>-1.1214058918866916E-2</c:v>
                </c:pt>
                <c:pt idx="94">
                  <c:v>-1.1496459718740842E-2</c:v>
                </c:pt>
                <c:pt idx="95">
                  <c:v>-2.166397874003621E-2</c:v>
                </c:pt>
                <c:pt idx="96">
                  <c:v>8.3591221239114177E-3</c:v>
                </c:pt>
                <c:pt idx="97">
                  <c:v>2.1531916605329066E-3</c:v>
                </c:pt>
                <c:pt idx="98">
                  <c:v>-5.3813637580805507E-3</c:v>
                </c:pt>
                <c:pt idx="99">
                  <c:v>-1.7414914656782379E-2</c:v>
                </c:pt>
                <c:pt idx="100">
                  <c:v>8.3880683638848739E-3</c:v>
                </c:pt>
                <c:pt idx="101">
                  <c:v>-2.1514159457479549E-2</c:v>
                </c:pt>
                <c:pt idx="102">
                  <c:v>-4.2745062638340926E-3</c:v>
                </c:pt>
                <c:pt idx="103">
                  <c:v>1.6377266277933299E-2</c:v>
                </c:pt>
                <c:pt idx="104">
                  <c:v>1.9555498200368827E-2</c:v>
                </c:pt>
                <c:pt idx="105">
                  <c:v>-4.0016594797127762E-2</c:v>
                </c:pt>
                <c:pt idx="106">
                  <c:v>-1.4343953912143435E-2</c:v>
                </c:pt>
                <c:pt idx="107">
                  <c:v>-6.2274783866518068E-3</c:v>
                </c:pt>
                <c:pt idx="108">
                  <c:v>1.2552287821655838E-2</c:v>
                </c:pt>
                <c:pt idx="109">
                  <c:v>-7.3239986682093836E-3</c:v>
                </c:pt>
                <c:pt idx="110">
                  <c:v>-1.5264829845292992E-3</c:v>
                </c:pt>
                <c:pt idx="111">
                  <c:v>8.3718916524369424E-3</c:v>
                </c:pt>
                <c:pt idx="112">
                  <c:v>-1.1099152507089101E-2</c:v>
                </c:pt>
                <c:pt idx="113">
                  <c:v>1.3428889970058842E-2</c:v>
                </c:pt>
                <c:pt idx="114">
                  <c:v>1.1530209145254738E-3</c:v>
                </c:pt>
                <c:pt idx="115">
                  <c:v>-1.2355708425376129E-3</c:v>
                </c:pt>
                <c:pt idx="116">
                  <c:v>1.0777818136320068E-2</c:v>
                </c:pt>
                <c:pt idx="117">
                  <c:v>3.1141000204787804E-3</c:v>
                </c:pt>
                <c:pt idx="118">
                  <c:v>2.756534476377713E-3</c:v>
                </c:pt>
                <c:pt idx="119">
                  <c:v>-1.0792536790606782E-3</c:v>
                </c:pt>
                <c:pt idx="120">
                  <c:v>-2.4380176522278904E-2</c:v>
                </c:pt>
                <c:pt idx="121">
                  <c:v>8.7598718165928409E-3</c:v>
                </c:pt>
                <c:pt idx="122">
                  <c:v>-1.7925302009938741E-2</c:v>
                </c:pt>
                <c:pt idx="123">
                  <c:v>7.0473804283420595E-3</c:v>
                </c:pt>
                <c:pt idx="124">
                  <c:v>1.7947765715515735E-3</c:v>
                </c:pt>
                <c:pt idx="125">
                  <c:v>-1.9074477906499878E-2</c:v>
                </c:pt>
                <c:pt idx="126">
                  <c:v>-6.2677480911393576E-5</c:v>
                </c:pt>
                <c:pt idx="127">
                  <c:v>-4.2022742741398347E-3</c:v>
                </c:pt>
                <c:pt idx="128">
                  <c:v>-7.6739464712721811E-3</c:v>
                </c:pt>
                <c:pt idx="129">
                  <c:v>-7.4693958680726764E-3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2-4EC6-9568-1F44EF60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867600"/>
        <c:axId val="1526866160"/>
      </c:lineChart>
      <c:catAx>
        <c:axId val="152686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866160"/>
        <c:crosses val="autoZero"/>
        <c:auto val="1"/>
        <c:lblAlgn val="ctr"/>
        <c:lblOffset val="100"/>
        <c:noMultiLvlLbl val="0"/>
      </c:catAx>
      <c:valAx>
        <c:axId val="15268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86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Stopa zwrotu dla cen</a:t>
            </a:r>
            <a:r>
              <a:rPr lang="pl-PL" b="1" baseline="0"/>
              <a:t> uncji Palladu </a:t>
            </a:r>
            <a:endParaRPr lang="pl-P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Obliczenia!$I$1</c:f>
              <c:strCache>
                <c:ptCount val="1"/>
                <c:pt idx="0">
                  <c:v>iPallad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Obliczenia!$I$2:$I$131</c:f>
              <c:numCache>
                <c:formatCode>0.0000%</c:formatCode>
                <c:ptCount val="130"/>
                <c:pt idx="1">
                  <c:v>6.1529777253692949E-2</c:v>
                </c:pt>
                <c:pt idx="2">
                  <c:v>-0.10636544532942645</c:v>
                </c:pt>
                <c:pt idx="3">
                  <c:v>5.5175017048870262E-2</c:v>
                </c:pt>
                <c:pt idx="4">
                  <c:v>-7.0741827446134278E-4</c:v>
                </c:pt>
                <c:pt idx="5">
                  <c:v>-0.14153332506702213</c:v>
                </c:pt>
                <c:pt idx="6">
                  <c:v>-9.7105365924950643E-2</c:v>
                </c:pt>
                <c:pt idx="7">
                  <c:v>-1.9079922159594413E-2</c:v>
                </c:pt>
                <c:pt idx="8">
                  <c:v>8.3444873840870001E-2</c:v>
                </c:pt>
                <c:pt idx="9">
                  <c:v>3.4843059612179192E-2</c:v>
                </c:pt>
                <c:pt idx="10">
                  <c:v>-0.2224411872759462</c:v>
                </c:pt>
                <c:pt idx="11">
                  <c:v>3.7675999364870406E-2</c:v>
                </c:pt>
                <c:pt idx="12">
                  <c:v>-0.12050024706561104</c:v>
                </c:pt>
                <c:pt idx="13">
                  <c:v>-7.85898251516641E-3</c:v>
                </c:pt>
                <c:pt idx="14">
                  <c:v>0.13155695836709852</c:v>
                </c:pt>
                <c:pt idx="15">
                  <c:v>0.10704409232592689</c:v>
                </c:pt>
                <c:pt idx="16">
                  <c:v>-0.13744113156505813</c:v>
                </c:pt>
                <c:pt idx="17">
                  <c:v>9.2743775636906056E-2</c:v>
                </c:pt>
                <c:pt idx="18">
                  <c:v>0.16758465120275967</c:v>
                </c:pt>
                <c:pt idx="19">
                  <c:v>-5.261821325845055E-2</c:v>
                </c:pt>
                <c:pt idx="20">
                  <c:v>7.0704666964491431E-2</c:v>
                </c:pt>
                <c:pt idx="21">
                  <c:v>-0.15157959344070387</c:v>
                </c:pt>
                <c:pt idx="22">
                  <c:v>0.215148786800376</c:v>
                </c:pt>
                <c:pt idx="23">
                  <c:v>-0.1250176838745054</c:v>
                </c:pt>
                <c:pt idx="24">
                  <c:v>0.10429583746775575</c:v>
                </c:pt>
                <c:pt idx="25">
                  <c:v>2.3160682164008597E-2</c:v>
                </c:pt>
                <c:pt idx="26">
                  <c:v>3.2179416633082512E-2</c:v>
                </c:pt>
                <c:pt idx="27">
                  <c:v>3.8663689940359076E-2</c:v>
                </c:pt>
                <c:pt idx="28">
                  <c:v>-1.0483751710111077E-2</c:v>
                </c:pt>
                <c:pt idx="29">
                  <c:v>2.9292783777157341E-2</c:v>
                </c:pt>
                <c:pt idx="30">
                  <c:v>4.9444846397047632E-2</c:v>
                </c:pt>
                <c:pt idx="31">
                  <c:v>5.6396488035711526E-2</c:v>
                </c:pt>
                <c:pt idx="32">
                  <c:v>-4.050093314089424E-4</c:v>
                </c:pt>
                <c:pt idx="33">
                  <c:v>4.4299725881492079E-2</c:v>
                </c:pt>
                <c:pt idx="34">
                  <c:v>2.9502858227130935E-2</c:v>
                </c:pt>
                <c:pt idx="35">
                  <c:v>5.1233881387968722E-2</c:v>
                </c:pt>
                <c:pt idx="36">
                  <c:v>-3.0468905818050118E-2</c:v>
                </c:pt>
                <c:pt idx="37">
                  <c:v>1.2069244985856421E-2</c:v>
                </c:pt>
                <c:pt idx="38">
                  <c:v>-9.4146640118696071E-2</c:v>
                </c:pt>
                <c:pt idx="39">
                  <c:v>1.8256296733437847E-2</c:v>
                </c:pt>
                <c:pt idx="40">
                  <c:v>2.2861700717849508E-2</c:v>
                </c:pt>
                <c:pt idx="41">
                  <c:v>-3.8773009968161187E-2</c:v>
                </c:pt>
                <c:pt idx="42">
                  <c:v>-1.8583934861997605E-2</c:v>
                </c:pt>
                <c:pt idx="43">
                  <c:v>5.1377823477645398E-2</c:v>
                </c:pt>
                <c:pt idx="44">
                  <c:v>8.9757935475485939E-2</c:v>
                </c:pt>
                <c:pt idx="45">
                  <c:v>4.8386294139538188E-3</c:v>
                </c:pt>
                <c:pt idx="46">
                  <c:v>8.8305891502280562E-2</c:v>
                </c:pt>
                <c:pt idx="47">
                  <c:v>6.5941216837510447E-2</c:v>
                </c:pt>
                <c:pt idx="48">
                  <c:v>6.2970073766986809E-2</c:v>
                </c:pt>
                <c:pt idx="49">
                  <c:v>0.14075797127766182</c:v>
                </c:pt>
                <c:pt idx="50">
                  <c:v>-0.11317639327937747</c:v>
                </c:pt>
                <c:pt idx="51">
                  <c:v>5.9905053093339353E-3</c:v>
                </c:pt>
                <c:pt idx="52">
                  <c:v>-4.7170599623790214E-2</c:v>
                </c:pt>
                <c:pt idx="53">
                  <c:v>0.15054162965135112</c:v>
                </c:pt>
                <c:pt idx="54">
                  <c:v>-1.3911847338211495E-2</c:v>
                </c:pt>
                <c:pt idx="55">
                  <c:v>6.8004052447504532E-3</c:v>
                </c:pt>
                <c:pt idx="56">
                  <c:v>9.1363264492087287E-2</c:v>
                </c:pt>
                <c:pt idx="57">
                  <c:v>6.8976965016994463E-2</c:v>
                </c:pt>
                <c:pt idx="58">
                  <c:v>2.4999446434107772E-2</c:v>
                </c:pt>
                <c:pt idx="59">
                  <c:v>5.5000434870370159E-2</c:v>
                </c:pt>
                <c:pt idx="60">
                  <c:v>0.16241999357283912</c:v>
                </c:pt>
                <c:pt idx="61">
                  <c:v>0.12415909647268585</c:v>
                </c:pt>
                <c:pt idx="62">
                  <c:v>-9.4523312728825221E-2</c:v>
                </c:pt>
                <c:pt idx="63">
                  <c:v>-0.17690745000658176</c:v>
                </c:pt>
                <c:pt idx="64">
                  <c:v>-1.91650174007339E-2</c:v>
                </c:pt>
                <c:pt idx="65">
                  <c:v>2.0206609073399112E-3</c:v>
                </c:pt>
                <c:pt idx="66">
                  <c:v>7.4462492102859532E-2</c:v>
                </c:pt>
                <c:pt idx="67">
                  <c:v>7.1927955587947748E-2</c:v>
                </c:pt>
                <c:pt idx="68">
                  <c:v>2.7517507809545552E-2</c:v>
                </c:pt>
                <c:pt idx="69">
                  <c:v>-4.147981707204465E-2</c:v>
                </c:pt>
                <c:pt idx="70">
                  <c:v>7.1986280210628237E-2</c:v>
                </c:pt>
                <c:pt idx="71">
                  <c:v>2.8608489094300003E-2</c:v>
                </c:pt>
                <c:pt idx="72">
                  <c:v>-9.4483273162585799E-2</c:v>
                </c:pt>
                <c:pt idx="73">
                  <c:v>4.08363411050508E-2</c:v>
                </c:pt>
                <c:pt idx="74">
                  <c:v>0.12284265196112901</c:v>
                </c:pt>
                <c:pt idx="75">
                  <c:v>0.11159499003325363</c:v>
                </c:pt>
                <c:pt idx="76">
                  <c:v>-3.668418547427571E-2</c:v>
                </c:pt>
                <c:pt idx="77">
                  <c:v>-1.6971744861436426E-2</c:v>
                </c:pt>
                <c:pt idx="78">
                  <c:v>-4.4546795717389107E-2</c:v>
                </c:pt>
                <c:pt idx="79">
                  <c:v>-7.5851597304977508E-2</c:v>
                </c:pt>
                <c:pt idx="80">
                  <c:v>-0.25510361641781554</c:v>
                </c:pt>
                <c:pt idx="81">
                  <c:v>4.2626937694406064E-2</c:v>
                </c:pt>
                <c:pt idx="82">
                  <c:v>-0.13771281133713531</c:v>
                </c:pt>
                <c:pt idx="83">
                  <c:v>9.2121775783579316E-2</c:v>
                </c:pt>
                <c:pt idx="84">
                  <c:v>0.21034785437168435</c:v>
                </c:pt>
                <c:pt idx="85">
                  <c:v>5.8796544133753875E-2</c:v>
                </c:pt>
                <c:pt idx="86">
                  <c:v>-9.7667136270759139E-2</c:v>
                </c:pt>
                <c:pt idx="87">
                  <c:v>2.4311602413006238E-2</c:v>
                </c:pt>
                <c:pt idx="88">
                  <c:v>-0.14701093816561045</c:v>
                </c:pt>
                <c:pt idx="89">
                  <c:v>-3.2376654775411594E-2</c:v>
                </c:pt>
                <c:pt idx="90">
                  <c:v>9.6762192183596621E-2</c:v>
                </c:pt>
                <c:pt idx="91">
                  <c:v>-2.304419725174366E-2</c:v>
                </c:pt>
                <c:pt idx="92">
                  <c:v>4.2445980676202179E-2</c:v>
                </c:pt>
                <c:pt idx="93">
                  <c:v>-0.16323496749486907</c:v>
                </c:pt>
                <c:pt idx="94">
                  <c:v>2.0432306180764571E-2</c:v>
                </c:pt>
                <c:pt idx="95">
                  <c:v>-5.2681111210321485E-2</c:v>
                </c:pt>
                <c:pt idx="96">
                  <c:v>-8.0148833656348673E-2</c:v>
                </c:pt>
                <c:pt idx="97">
                  <c:v>-0.14732288974399077</c:v>
                </c:pt>
                <c:pt idx="98">
                  <c:v>3.0637573934564438E-2</c:v>
                </c:pt>
                <c:pt idx="99">
                  <c:v>2.3176818465367607E-2</c:v>
                </c:pt>
                <c:pt idx="100">
                  <c:v>-9.4259569098380055E-2</c:v>
                </c:pt>
                <c:pt idx="101">
                  <c:v>-0.1052696592222888</c:v>
                </c:pt>
                <c:pt idx="102">
                  <c:v>4.2327386802238048E-2</c:v>
                </c:pt>
                <c:pt idx="103">
                  <c:v>-4.4723239470453383E-2</c:v>
                </c:pt>
                <c:pt idx="104">
                  <c:v>1.5155106433551956E-2</c:v>
                </c:pt>
                <c:pt idx="105">
                  <c:v>-0.10215317779512259</c:v>
                </c:pt>
                <c:pt idx="106">
                  <c:v>-0.11086045169279661</c:v>
                </c:pt>
                <c:pt idx="107">
                  <c:v>9.0881288657207751E-2</c:v>
                </c:pt>
                <c:pt idx="108">
                  <c:v>-0.11851290694288989</c:v>
                </c:pt>
                <c:pt idx="109">
                  <c:v>-3.6018672831084217E-2</c:v>
                </c:pt>
                <c:pt idx="110">
                  <c:v>7.2873765220238612E-2</c:v>
                </c:pt>
                <c:pt idx="111">
                  <c:v>-6.3230134191795476E-2</c:v>
                </c:pt>
                <c:pt idx="112">
                  <c:v>-4.0338324896389353E-2</c:v>
                </c:pt>
                <c:pt idx="113">
                  <c:v>6.3601198681118992E-2</c:v>
                </c:pt>
                <c:pt idx="114">
                  <c:v>-5.1723691166218749E-2</c:v>
                </c:pt>
                <c:pt idx="115">
                  <c:v>4.0728358689305896E-2</c:v>
                </c:pt>
                <c:pt idx="116">
                  <c:v>3.5226704821506173E-2</c:v>
                </c:pt>
                <c:pt idx="117">
                  <c:v>0.11283871848131725</c:v>
                </c:pt>
                <c:pt idx="118">
                  <c:v>-0.1307030758110263</c:v>
                </c:pt>
                <c:pt idx="119">
                  <c:v>-7.5378136175623361E-2</c:v>
                </c:pt>
                <c:pt idx="120">
                  <c:v>0.10368158171501819</c:v>
                </c:pt>
                <c:pt idx="121">
                  <c:v>-9.0627276124144798E-2</c:v>
                </c:pt>
                <c:pt idx="122">
                  <c:v>6.9457502788768166E-2</c:v>
                </c:pt>
                <c:pt idx="123">
                  <c:v>-4.8574670148557153E-2</c:v>
                </c:pt>
                <c:pt idx="124">
                  <c:v>3.0842251787392163E-2</c:v>
                </c:pt>
                <c:pt idx="125">
                  <c:v>0.12528653357881731</c:v>
                </c:pt>
                <c:pt idx="126">
                  <c:v>8.547318873518428E-2</c:v>
                </c:pt>
                <c:pt idx="127">
                  <c:v>-7.8795186803383432E-2</c:v>
                </c:pt>
                <c:pt idx="128">
                  <c:v>0.12511340874103702</c:v>
                </c:pt>
                <c:pt idx="129">
                  <c:v>0.13345500081785397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7-4E4B-A475-7CDA626D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914160"/>
        <c:axId val="1526907920"/>
      </c:lineChart>
      <c:catAx>
        <c:axId val="152691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907920"/>
        <c:crosses val="autoZero"/>
        <c:auto val="1"/>
        <c:lblAlgn val="ctr"/>
        <c:lblOffset val="100"/>
        <c:noMultiLvlLbl val="0"/>
      </c:catAx>
      <c:valAx>
        <c:axId val="15269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91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Stopy zwrotu dla ETF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Obliczenia!$J$1</c:f>
              <c:strCache>
                <c:ptCount val="1"/>
                <c:pt idx="0">
                  <c:v>iETFSP500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Obliczenia!$J$2:$J$131</c:f>
              <c:numCache>
                <c:formatCode>0.0000%</c:formatCode>
                <c:ptCount val="130"/>
                <c:pt idx="1">
                  <c:v>4.9582977632387601E-2</c:v>
                </c:pt>
                <c:pt idx="2">
                  <c:v>9.1918242931213773E-3</c:v>
                </c:pt>
                <c:pt idx="3">
                  <c:v>-3.956563283189414E-2</c:v>
                </c:pt>
                <c:pt idx="4">
                  <c:v>4.7083484274879399E-2</c:v>
                </c:pt>
                <c:pt idx="5">
                  <c:v>-1.7695553956425525E-2</c:v>
                </c:pt>
                <c:pt idx="6">
                  <c:v>1.9424220226274439E-2</c:v>
                </c:pt>
                <c:pt idx="7">
                  <c:v>-5.8130686169571281E-2</c:v>
                </c:pt>
                <c:pt idx="8">
                  <c:v>-2.9159766887400684E-2</c:v>
                </c:pt>
                <c:pt idx="9">
                  <c:v>0.10678012298106561</c:v>
                </c:pt>
                <c:pt idx="10">
                  <c:v>5.4366176513962181E-2</c:v>
                </c:pt>
                <c:pt idx="11">
                  <c:v>-4.9618321122892294E-2</c:v>
                </c:pt>
                <c:pt idx="12">
                  <c:v>-2.7684831002069425E-2</c:v>
                </c:pt>
                <c:pt idx="13">
                  <c:v>-8.7034521710792987E-3</c:v>
                </c:pt>
                <c:pt idx="14">
                  <c:v>-8.6868357570010594E-4</c:v>
                </c:pt>
                <c:pt idx="15">
                  <c:v>2.1046319144308864E-2</c:v>
                </c:pt>
                <c:pt idx="16">
                  <c:v>5.1219279443291604E-2</c:v>
                </c:pt>
                <c:pt idx="17">
                  <c:v>9.0996760275466738E-4</c:v>
                </c:pt>
                <c:pt idx="18">
                  <c:v>2.7597339219933771E-2</c:v>
                </c:pt>
                <c:pt idx="19">
                  <c:v>7.1399737497029958E-3</c:v>
                </c:pt>
                <c:pt idx="20">
                  <c:v>-1.8101304941992431E-2</c:v>
                </c:pt>
                <c:pt idx="21">
                  <c:v>9.6676366157741681E-3</c:v>
                </c:pt>
                <c:pt idx="22">
                  <c:v>9.744305757475942E-2</c:v>
                </c:pt>
                <c:pt idx="23">
                  <c:v>7.7226643129157746E-3</c:v>
                </c:pt>
                <c:pt idx="24">
                  <c:v>-2.363683670008266E-2</c:v>
                </c:pt>
                <c:pt idx="25">
                  <c:v>5.4732962302375045E-2</c:v>
                </c:pt>
                <c:pt idx="26">
                  <c:v>-1.8239357271733994E-2</c:v>
                </c:pt>
                <c:pt idx="27">
                  <c:v>-1.3919081677102112E-2</c:v>
                </c:pt>
                <c:pt idx="28">
                  <c:v>-3.1033130103680848E-2</c:v>
                </c:pt>
                <c:pt idx="29">
                  <c:v>7.0438308902546383E-3</c:v>
                </c:pt>
                <c:pt idx="30">
                  <c:v>-1.204039421839509E-2</c:v>
                </c:pt>
                <c:pt idx="31">
                  <c:v>-7.5239227195431383E-3</c:v>
                </c:pt>
                <c:pt idx="32">
                  <c:v>4.3005345039026033E-2</c:v>
                </c:pt>
                <c:pt idx="33">
                  <c:v>2.3917339725742785E-2</c:v>
                </c:pt>
                <c:pt idx="34">
                  <c:v>-3.8686076200924058E-3</c:v>
                </c:pt>
                <c:pt idx="35">
                  <c:v>-9.1656784517290949E-4</c:v>
                </c:pt>
                <c:pt idx="36">
                  <c:v>1.5045785412275468E-2</c:v>
                </c:pt>
                <c:pt idx="37">
                  <c:v>1.456422995368057E-3</c:v>
                </c:pt>
                <c:pt idx="38">
                  <c:v>-5.3637032601758221E-2</c:v>
                </c:pt>
                <c:pt idx="39">
                  <c:v>4.3849286509110144E-2</c:v>
                </c:pt>
                <c:pt idx="40">
                  <c:v>7.7376578147755809E-2</c:v>
                </c:pt>
                <c:pt idx="41">
                  <c:v>2.3956473262719883E-2</c:v>
                </c:pt>
                <c:pt idx="42">
                  <c:v>-1.0987361439296522E-3</c:v>
                </c:pt>
                <c:pt idx="43">
                  <c:v>5.4117003968807066E-2</c:v>
                </c:pt>
                <c:pt idx="44">
                  <c:v>-1.6241938652607109E-3</c:v>
                </c:pt>
                <c:pt idx="45">
                  <c:v>-3.3444297851621847E-2</c:v>
                </c:pt>
                <c:pt idx="46">
                  <c:v>2.0818136287244844E-3</c:v>
                </c:pt>
                <c:pt idx="47">
                  <c:v>-0.10254052340364476</c:v>
                </c:pt>
                <c:pt idx="48">
                  <c:v>7.3490153844009462E-2</c:v>
                </c:pt>
                <c:pt idx="49">
                  <c:v>4.6357054880335945E-2</c:v>
                </c:pt>
                <c:pt idx="50">
                  <c:v>2.5932022752791661E-2</c:v>
                </c:pt>
                <c:pt idx="51">
                  <c:v>3.4919356784935879E-2</c:v>
                </c:pt>
                <c:pt idx="52">
                  <c:v>-5.0827592333299636E-2</c:v>
                </c:pt>
                <c:pt idx="53">
                  <c:v>3.1562506108924263E-2</c:v>
                </c:pt>
                <c:pt idx="54">
                  <c:v>5.9745949098012008E-2</c:v>
                </c:pt>
                <c:pt idx="55">
                  <c:v>9.0793927935388617E-3</c:v>
                </c:pt>
                <c:pt idx="56">
                  <c:v>2.1635491601748377E-2</c:v>
                </c:pt>
                <c:pt idx="57">
                  <c:v>-2.8168344805078609E-2</c:v>
                </c:pt>
                <c:pt idx="58">
                  <c:v>6.4219418269775494E-2</c:v>
                </c:pt>
                <c:pt idx="59">
                  <c:v>-4.755854154843326E-3</c:v>
                </c:pt>
                <c:pt idx="60">
                  <c:v>2.9278311052345515E-2</c:v>
                </c:pt>
                <c:pt idx="61">
                  <c:v>-9.77062747082134E-2</c:v>
                </c:pt>
                <c:pt idx="62">
                  <c:v>-4.8865589425338765E-2</c:v>
                </c:pt>
                <c:pt idx="63">
                  <c:v>0.11331730203802831</c:v>
                </c:pt>
                <c:pt idx="64">
                  <c:v>-4.7976648345935515E-3</c:v>
                </c:pt>
                <c:pt idx="65">
                  <c:v>9.8298685867977444E-3</c:v>
                </c:pt>
                <c:pt idx="66">
                  <c:v>-1.141851554598342E-3</c:v>
                </c:pt>
                <c:pt idx="67">
                  <c:v>6.3638286994426946E-2</c:v>
                </c:pt>
                <c:pt idx="68">
                  <c:v>1.3045282277699709E-2</c:v>
                </c:pt>
                <c:pt idx="69">
                  <c:v>-1.1643717773655795E-2</c:v>
                </c:pt>
                <c:pt idx="70">
                  <c:v>5.21598312754218E-2</c:v>
                </c:pt>
                <c:pt idx="71">
                  <c:v>3.4556360187962765E-2</c:v>
                </c:pt>
                <c:pt idx="72">
                  <c:v>2.4694919870314048E-3</c:v>
                </c:pt>
                <c:pt idx="73">
                  <c:v>1.943111177499706E-2</c:v>
                </c:pt>
                <c:pt idx="74">
                  <c:v>9.8660284253224276E-2</c:v>
                </c:pt>
                <c:pt idx="75">
                  <c:v>5.4480758248839772E-3</c:v>
                </c:pt>
                <c:pt idx="76">
                  <c:v>-2.3090758616311494E-2</c:v>
                </c:pt>
                <c:pt idx="77">
                  <c:v>6.0975914897752719E-2</c:v>
                </c:pt>
                <c:pt idx="78">
                  <c:v>3.4234376448600216E-2</c:v>
                </c:pt>
                <c:pt idx="79">
                  <c:v>2.6867376869720232E-2</c:v>
                </c:pt>
                <c:pt idx="80">
                  <c:v>-4.5898872856329851E-3</c:v>
                </c:pt>
                <c:pt idx="81">
                  <c:v>5.542278125817713E-2</c:v>
                </c:pt>
                <c:pt idx="82">
                  <c:v>4.8122556637013376E-2</c:v>
                </c:pt>
                <c:pt idx="83">
                  <c:v>1.905675647525909E-2</c:v>
                </c:pt>
                <c:pt idx="84">
                  <c:v>-6.0546715493184244E-2</c:v>
                </c:pt>
                <c:pt idx="85">
                  <c:v>-5.3450702212191484E-3</c:v>
                </c:pt>
                <c:pt idx="86">
                  <c:v>5.4778921707999036E-2</c:v>
                </c:pt>
                <c:pt idx="87">
                  <c:v>-2.0719808451285494E-2</c:v>
                </c:pt>
                <c:pt idx="88">
                  <c:v>-5.8265555781599476E-2</c:v>
                </c:pt>
                <c:pt idx="89">
                  <c:v>-4.7254179041743984E-2</c:v>
                </c:pt>
                <c:pt idx="90">
                  <c:v>0.12499947952271433</c:v>
                </c:pt>
                <c:pt idx="91">
                  <c:v>-1.5405759920135886E-2</c:v>
                </c:pt>
                <c:pt idx="92">
                  <c:v>-3.1853625041424832E-2</c:v>
                </c:pt>
                <c:pt idx="93">
                  <c:v>2.3699848507612826E-2</c:v>
                </c:pt>
                <c:pt idx="94">
                  <c:v>-2.9196420029437831E-2</c:v>
                </c:pt>
                <c:pt idx="95">
                  <c:v>-6.0731186200028424E-2</c:v>
                </c:pt>
                <c:pt idx="96">
                  <c:v>4.4762400609138824E-2</c:v>
                </c:pt>
                <c:pt idx="97">
                  <c:v>1.0391244918672037E-2</c:v>
                </c:pt>
                <c:pt idx="98">
                  <c:v>-4.8516293997623392E-3</c:v>
                </c:pt>
                <c:pt idx="99">
                  <c:v>-2.0994281248538235E-2</c:v>
                </c:pt>
                <c:pt idx="100">
                  <c:v>2.3752623593265302E-2</c:v>
                </c:pt>
                <c:pt idx="101">
                  <c:v>3.3054175902131722E-2</c:v>
                </c:pt>
                <c:pt idx="102">
                  <c:v>1.1131820258664717E-2</c:v>
                </c:pt>
                <c:pt idx="103">
                  <c:v>1.0700047944107624E-2</c:v>
                </c:pt>
                <c:pt idx="104">
                  <c:v>2.2992547860658231E-2</c:v>
                </c:pt>
                <c:pt idx="105">
                  <c:v>-7.2384628232568138E-2</c:v>
                </c:pt>
                <c:pt idx="106">
                  <c:v>3.0754173025562943E-2</c:v>
                </c:pt>
                <c:pt idx="107">
                  <c:v>3.6018158252172416E-2</c:v>
                </c:pt>
                <c:pt idx="108">
                  <c:v>4.9999939932407471E-2</c:v>
                </c:pt>
                <c:pt idx="109">
                  <c:v>3.1756486912104719E-2</c:v>
                </c:pt>
                <c:pt idx="110">
                  <c:v>3.6084250380890484E-2</c:v>
                </c:pt>
                <c:pt idx="111">
                  <c:v>-1.9756516433080878E-2</c:v>
                </c:pt>
                <c:pt idx="112">
                  <c:v>1.1727366224167058E-3</c:v>
                </c:pt>
                <c:pt idx="113">
                  <c:v>7.5834051013012632E-2</c:v>
                </c:pt>
                <c:pt idx="114">
                  <c:v>-9.6130150350695123E-3</c:v>
                </c:pt>
                <c:pt idx="115">
                  <c:v>-1.4809120161055064E-2</c:v>
                </c:pt>
                <c:pt idx="116">
                  <c:v>2.202642870443889E-2</c:v>
                </c:pt>
                <c:pt idx="117">
                  <c:v>4.2234570379265715E-2</c:v>
                </c:pt>
                <c:pt idx="118">
                  <c:v>6.8993153274289093E-2</c:v>
                </c:pt>
                <c:pt idx="119">
                  <c:v>4.7856773169040953E-3</c:v>
                </c:pt>
                <c:pt idx="120">
                  <c:v>1.1771631730148311E-3</c:v>
                </c:pt>
                <c:pt idx="121">
                  <c:v>-5.1293294387550578E-2</c:v>
                </c:pt>
                <c:pt idx="122">
                  <c:v>-9.63427044185141E-2</c:v>
                </c:pt>
                <c:pt idx="123">
                  <c:v>-2.9288384262327528E-2</c:v>
                </c:pt>
                <c:pt idx="124">
                  <c:v>6.1931568768463632E-2</c:v>
                </c:pt>
                <c:pt idx="125">
                  <c:v>1.5064142524463878E-2</c:v>
                </c:pt>
                <c:pt idx="126">
                  <c:v>7.0075708625783384E-2</c:v>
                </c:pt>
                <c:pt idx="127">
                  <c:v>-1.5062364961573827E-2</c:v>
                </c:pt>
                <c:pt idx="128">
                  <c:v>2.8506933883090845E-2</c:v>
                </c:pt>
                <c:pt idx="129">
                  <c:v>4.3107600583404161E-2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0-4A4E-A12A-3361DA00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868560"/>
        <c:axId val="1526869040"/>
      </c:lineChart>
      <c:catAx>
        <c:axId val="15268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869040"/>
        <c:crosses val="autoZero"/>
        <c:auto val="1"/>
        <c:lblAlgn val="ctr"/>
        <c:lblOffset val="100"/>
        <c:noMultiLvlLbl val="0"/>
      </c:catAx>
      <c:valAx>
        <c:axId val="15268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686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EC-44FA-A2B5-FFBC2761A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EC-44FA-A2B5-FFBC2761A9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EEC-44FA-A2B5-FFBC2761A9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EC-44FA-A2B5-FFBC2761A96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95CB796-E91A-4AFB-956F-4E8EAF68382A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 </a:t>
                    </a:r>
                    <a:fld id="{8F8E627E-387A-44A7-841B-F1BEA1C1E3D9}" type="VALUE">
                      <a:rPr lang="en-US" baseline="0"/>
                      <a:pPr/>
                      <a:t>[WARTOŚĆ]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EEC-44FA-A2B5-FFBC2761A9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4FFEEE-5A90-47A0-859E-64B9C80A0C37}" type="CATEGORYNAME">
                      <a:rPr lang="en-US" sz="1600"/>
                      <a:pPr/>
                      <a:t>[NAZWA KATEGORII]</a:t>
                    </a:fld>
                    <a:r>
                      <a:rPr lang="en-US" sz="1600" baseline="0"/>
                      <a:t> </a:t>
                    </a:r>
                    <a:fld id="{4BB50B27-6851-463D-A062-AF790367AF71}" type="VALUE">
                      <a:rPr lang="en-US" sz="1600" baseline="0"/>
                      <a:pPr/>
                      <a:t>[WARTOŚĆ]</a:t>
                    </a:fld>
                    <a:endParaRPr lang="en-US" sz="1600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EEC-44FA-A2B5-FFBC2761A9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C9C55BC-70A6-40B1-A263-29B50C53616B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 </a:t>
                    </a:r>
                    <a:fld id="{C7D075B8-AD48-452A-961E-7E4F92E561CD}" type="VALUE">
                      <a:rPr lang="en-US" baseline="0"/>
                      <a:pPr/>
                      <a:t>[WARTOŚĆ]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EEC-44FA-A2B5-FFBC2761A9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01926C-A905-41DA-887D-B1FB2C25ECA5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 </a:t>
                    </a:r>
                    <a:fld id="{8DB5983A-5812-4AF5-9DD8-DFDFA6810996}" type="VALUE">
                      <a:rPr lang="en-US" baseline="0"/>
                      <a:pPr/>
                      <a:t>[WARTOŚĆ]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EEC-44FA-A2B5-FFBC2761A9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Portfele!$A$2:$D$2</c:f>
              <c:strCache>
                <c:ptCount val="4"/>
                <c:pt idx="0">
                  <c:v>CD Projekt Red</c:v>
                </c:pt>
                <c:pt idx="1">
                  <c:v>GBP</c:v>
                </c:pt>
                <c:pt idx="2">
                  <c:v>Pallad</c:v>
                </c:pt>
                <c:pt idx="3">
                  <c:v>ETFSP500</c:v>
                </c:pt>
              </c:strCache>
            </c:strRef>
          </c:cat>
          <c:val>
            <c:numRef>
              <c:f>Portfele!$A$3:$D$3</c:f>
              <c:numCache>
                <c:formatCode>0%</c:formatCode>
                <c:ptCount val="4"/>
                <c:pt idx="0">
                  <c:v>0.04</c:v>
                </c:pt>
                <c:pt idx="1">
                  <c:v>0.86</c:v>
                </c:pt>
                <c:pt idx="2">
                  <c:v>0.06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C-44FA-A2B5-FFBC2761A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9F-4B1E-9F94-9C77FE61C2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9F-4B1E-9F94-9C77FE61C2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9F-4B1E-9F94-9C77FE61C2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19F-4B1E-9F94-9C77FE61C24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BCF7491-8CD3-435B-AC8D-2C4C4F7EF897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 </a:t>
                    </a:r>
                    <a:fld id="{35E62B87-E509-4716-9CC2-D6089F65EFCB}" type="VALUE">
                      <a:rPr lang="en-US" baseline="0"/>
                      <a:pPr/>
                      <a:t>[WARTOŚĆ]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9F-4B1E-9F94-9C77FE61C2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9F-4B1E-9F94-9C77FE61C2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26E9EE-02CD-472E-AF9B-EBC3009458AD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 </a:t>
                    </a:r>
                    <a:fld id="{6A0A2DEF-50EE-40DF-A92F-164037507E9D}" type="VALUE">
                      <a:rPr lang="en-US" baseline="0"/>
                      <a:pPr/>
                      <a:t>[WARTOŚĆ]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9F-4B1E-9F94-9C77FE61C2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AE9EC7-BA67-406E-8102-74AE5797EA4D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 </a:t>
                    </a:r>
                    <a:fld id="{96552282-C989-468B-98CF-315B1D4AAF26}" type="VALUE">
                      <a:rPr lang="en-US" baseline="0"/>
                      <a:pPr/>
                      <a:t>[WARTOŚĆ]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19F-4B1E-9F94-9C77FE61C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Portfele!$A$2:$D$2</c:f>
              <c:strCache>
                <c:ptCount val="4"/>
                <c:pt idx="0">
                  <c:v>CD Projekt Red</c:v>
                </c:pt>
                <c:pt idx="1">
                  <c:v>GBP</c:v>
                </c:pt>
                <c:pt idx="2">
                  <c:v>Pallad</c:v>
                </c:pt>
                <c:pt idx="3">
                  <c:v>ETFSP500</c:v>
                </c:pt>
              </c:strCache>
            </c:strRef>
          </c:cat>
          <c:val>
            <c:numRef>
              <c:f>Portfele!$A$4:$D$4</c:f>
              <c:numCache>
                <c:formatCode>0%</c:formatCode>
                <c:ptCount val="4"/>
                <c:pt idx="0">
                  <c:v>0.2</c:v>
                </c:pt>
                <c:pt idx="1">
                  <c:v>0</c:v>
                </c:pt>
                <c:pt idx="2">
                  <c:v>0.06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F-4B1E-9F94-9C77FE61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Stopy zwrotu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Portfele!$A$2:$D$2</c:f>
              <c:strCache>
                <c:ptCount val="4"/>
                <c:pt idx="0">
                  <c:v>CD Projekt Red</c:v>
                </c:pt>
                <c:pt idx="1">
                  <c:v>GBP</c:v>
                </c:pt>
                <c:pt idx="2">
                  <c:v>Pallad</c:v>
                </c:pt>
                <c:pt idx="3">
                  <c:v>ETFSP500</c:v>
                </c:pt>
              </c:strCache>
            </c:strRef>
          </c:cat>
          <c:val>
            <c:numRef>
              <c:f>Portfele!$E$6:$E$9</c:f>
              <c:numCache>
                <c:formatCode>0.00%</c:formatCode>
                <c:ptCount val="4"/>
                <c:pt idx="0">
                  <c:v>2.1923383124030998E-2</c:v>
                </c:pt>
                <c:pt idx="1">
                  <c:v>-1.0812078643410901E-3</c:v>
                </c:pt>
                <c:pt idx="2">
                  <c:v>4.8546993488372096E-3</c:v>
                </c:pt>
                <c:pt idx="3">
                  <c:v>1.0826715899224799E-2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0-406A-A1EF-17FF4D65550A}"/>
            </c:ext>
          </c:extLst>
        </c:ser>
        <c:ser>
          <c:idx val="1"/>
          <c:order val="1"/>
          <c:tx>
            <c:v>Ryzyko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Portfele!$A$2:$D$2</c:f>
              <c:strCache>
                <c:ptCount val="4"/>
                <c:pt idx="0">
                  <c:v>CD Projekt Red</c:v>
                </c:pt>
                <c:pt idx="1">
                  <c:v>GBP</c:v>
                </c:pt>
                <c:pt idx="2">
                  <c:v>Pallad</c:v>
                </c:pt>
                <c:pt idx="3">
                  <c:v>ETFSP500</c:v>
                </c:pt>
              </c:strCache>
            </c:strRef>
          </c:cat>
          <c:val>
            <c:numRef>
              <c:f>Portfele!$F$6:$F$9</c:f>
              <c:numCache>
                <c:formatCode>0.00%</c:formatCode>
                <c:ptCount val="4"/>
                <c:pt idx="0">
                  <c:v>0.11909138699022299</c:v>
                </c:pt>
                <c:pt idx="1">
                  <c:v>2.3453384534282098E-2</c:v>
                </c:pt>
                <c:pt idx="2">
                  <c:v>9.04341026681868E-2</c:v>
                </c:pt>
                <c:pt idx="3">
                  <c:v>4.2378205532613601E-2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80-406A-A1EF-17FF4D65550A}"/>
            </c:ext>
          </c:extLst>
        </c:ser>
        <c:ser>
          <c:idx val="2"/>
          <c:order val="2"/>
          <c:tx>
            <c:v>Efektywność</c:v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Portfele!$A$2:$D$2</c:f>
              <c:strCache>
                <c:ptCount val="4"/>
                <c:pt idx="0">
                  <c:v>CD Projekt Red</c:v>
                </c:pt>
                <c:pt idx="1">
                  <c:v>GBP</c:v>
                </c:pt>
                <c:pt idx="2">
                  <c:v>Pallad</c:v>
                </c:pt>
                <c:pt idx="3">
                  <c:v>ETFSP500</c:v>
                </c:pt>
              </c:strCache>
            </c:strRef>
          </c:cat>
          <c:val>
            <c:numRef>
              <c:f>Portfele!$G$6:$G$9</c:f>
              <c:numCache>
                <c:formatCode>0.00%</c:formatCode>
                <c:ptCount val="4"/>
                <c:pt idx="0">
                  <c:v>0.16567986409670199</c:v>
                </c:pt>
                <c:pt idx="1">
                  <c:v>-0.13957670680575801</c:v>
                </c:pt>
                <c:pt idx="2">
                  <c:v>2.9439790498089199E-2</c:v>
                </c:pt>
                <c:pt idx="3">
                  <c:v>0.20374571028442501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80-406A-A1EF-17FF4D65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050911"/>
        <c:axId val="2004049199"/>
      </c:barChart>
      <c:catAx>
        <c:axId val="200405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4049199"/>
        <c:crosses val="autoZero"/>
        <c:auto val="1"/>
        <c:lblAlgn val="ctr"/>
        <c:lblOffset val="100"/>
        <c:noMultiLvlLbl val="0"/>
      </c:catAx>
      <c:valAx>
        <c:axId val="20040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405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seria1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1-406E-8238-FD8768957B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11-406E-8238-FD8768957B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11-406E-8238-FD8768957B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11-406E-8238-FD8768957B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Portfele!$A$2:$D$2</c:f>
              <c:strCache>
                <c:ptCount val="4"/>
                <c:pt idx="0">
                  <c:v>CD Projekt Red</c:v>
                </c:pt>
                <c:pt idx="1">
                  <c:v>GBP</c:v>
                </c:pt>
                <c:pt idx="2">
                  <c:v>Pallad</c:v>
                </c:pt>
                <c:pt idx="3">
                  <c:v>ETFSP500</c:v>
                </c:pt>
              </c:strCache>
            </c:strRef>
          </c:cat>
          <c:val>
            <c:numRef>
              <c:f>Portfele!$A$10:$D$10</c:f>
              <c:numCache>
                <c:formatCode>0%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11-406E-8238-FD8768957B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v>CD Projekt Red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portfeli'!$A$4,'Zmiana optymalnych portfeli'!$A$10,'Zmiana optymalnych portfeli'!$A$16,'Zmiana optymalnych portfeli'!$A$22,'Zmiana optymalnych portfeli'!$A$28,'Zmiana optymalnych portfeli'!$A$34,'Zmiana optymalnych portfeli'!$A$40,'Zmiana optymalnych portfeli'!$A$46,'Zmiana optymalnych portfeli'!$A$52,'Zmiana optymalnych portfeli'!$A$58,'Zmiana optymalnych portfeli'!$A$64)</c:f>
              <c:numCache>
                <c:formatCode>0%</c:formatCode>
                <c:ptCount val="11"/>
                <c:pt idx="0">
                  <c:v>0.61</c:v>
                </c:pt>
                <c:pt idx="1">
                  <c:v>1</c:v>
                </c:pt>
                <c:pt idx="2">
                  <c:v>0.12</c:v>
                </c:pt>
                <c:pt idx="3">
                  <c:v>0.26</c:v>
                </c:pt>
                <c:pt idx="4">
                  <c:v>0.47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  <c:pt idx="8">
                  <c:v>0</c:v>
                </c:pt>
                <c:pt idx="9">
                  <c:v>0.26</c:v>
                </c:pt>
                <c:pt idx="1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29-4481-A1BE-1F8A249F6E3A}"/>
            </c:ext>
          </c:extLst>
        </c:ser>
        <c:ser>
          <c:idx val="1"/>
          <c:order val="1"/>
          <c:tx>
            <c:v>GBP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portfeli'!$B$4,'Zmiana optymalnych portfeli'!$B$10,'Zmiana optymalnych portfeli'!$B$16,'Zmiana optymalnych portfeli'!$B$22,'Zmiana optymalnych portfeli'!$B$28,'Zmiana optymalnych portfeli'!$B$34,'Zmiana optymalnych portfeli'!$B$40,'Zmiana optymalnych portfeli'!$B$46,'Zmiana optymalnych portfeli'!$B$52,'Zmiana optymalnych portfeli'!$B$58,'Zmiana optymalnych portfeli'!$B$64)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0.19</c:v>
                </c:pt>
                <c:pt idx="4">
                  <c:v>0</c:v>
                </c:pt>
                <c:pt idx="5">
                  <c:v>0.23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29-4481-A1BE-1F8A249F6E3A}"/>
            </c:ext>
          </c:extLst>
        </c:ser>
        <c:ser>
          <c:idx val="2"/>
          <c:order val="2"/>
          <c:tx>
            <c:v>Pallad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portfeli'!$C$4,'Zmiana optymalnych portfeli'!$C$10,'Zmiana optymalnych portfeli'!$C$16,'Zmiana optymalnych portfeli'!$C$22,'Zmiana optymalnych portfeli'!$C$28,'Zmiana optymalnych portfeli'!$C$34,'Zmiana optymalnych portfeli'!$C$40,'Zmiana optymalnych portfeli'!$C$46,'Zmiana optymalnych portfeli'!$C$52,'Zmiana optymalnych portfeli'!$C$58,'Zmiana optymalnych portfeli'!$C$64)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0.88</c:v>
                </c:pt>
                <c:pt idx="3">
                  <c:v>0.55000000000000004</c:v>
                </c:pt>
                <c:pt idx="4">
                  <c:v>0.33</c:v>
                </c:pt>
                <c:pt idx="5">
                  <c:v>0.28000000000000003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29-4481-A1BE-1F8A249F6E3A}"/>
            </c:ext>
          </c:extLst>
        </c:ser>
        <c:ser>
          <c:idx val="3"/>
          <c:order val="3"/>
          <c:tx>
            <c:v>ETF SP500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portfeli'!$D$4,'Zmiana optymalnych portfeli'!$D$10,'Zmiana optymalnych portfeli'!$D$16,'Zmiana optymalnych portfeli'!$D$22,'Zmiana optymalnych portfeli'!$D$28,'Zmiana optymalnych portfeli'!$D$34,'Zmiana optymalnych portfeli'!$D$40,'Zmiana optymalnych portfeli'!$D$46,'Zmiana optymalnych portfeli'!$D$52,'Zmiana optymalnych portfeli'!$D$58,'Zmiana optymalnych portfeli'!$D$64)</c:f>
              <c:numCache>
                <c:formatCode>0%</c:formatCode>
                <c:ptCount val="11"/>
                <c:pt idx="0">
                  <c:v>0.39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0.49</c:v>
                </c:pt>
                <c:pt idx="6">
                  <c:v>0.96</c:v>
                </c:pt>
                <c:pt idx="7">
                  <c:v>0</c:v>
                </c:pt>
                <c:pt idx="8">
                  <c:v>1</c:v>
                </c:pt>
                <c:pt idx="9">
                  <c:v>0.74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29-4481-A1BE-1F8A249F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816720"/>
        <c:axId val="660814800"/>
      </c:area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CD Projekt Red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portfeli'!$A$4,'Zmiana optymalnych portfeli'!$A$10,'Zmiana optymalnych portfeli'!$A$16,'Zmiana optymalnych portfeli'!$A$22,'Zmiana optymalnych portfeli'!$A$28,'Zmiana optymalnych portfeli'!$A$34,'Zmiana optymalnych portfeli'!$A$40,'Zmiana optymalnych portfeli'!$A$46,'Zmiana optymalnych portfeli'!$A$52,'Zmiana optymalnych portfeli'!$A$58,'Zmiana optymalnych portfeli'!$A$64)</c:f>
              <c:numCache>
                <c:formatCode>0%</c:formatCode>
                <c:ptCount val="11"/>
                <c:pt idx="0">
                  <c:v>0.61</c:v>
                </c:pt>
                <c:pt idx="1">
                  <c:v>1</c:v>
                </c:pt>
                <c:pt idx="2">
                  <c:v>0.12</c:v>
                </c:pt>
                <c:pt idx="3">
                  <c:v>0.26</c:v>
                </c:pt>
                <c:pt idx="4">
                  <c:v>0.47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  <c:pt idx="8">
                  <c:v>0</c:v>
                </c:pt>
                <c:pt idx="9">
                  <c:v>0.26</c:v>
                </c:pt>
                <c:pt idx="1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D-4238-B4D6-245A64F2F619}"/>
            </c:ext>
          </c:extLst>
        </c:ser>
        <c:ser>
          <c:idx val="1"/>
          <c:order val="1"/>
          <c:tx>
            <c:v>GBP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portfeli'!$B$4,'Zmiana optymalnych portfeli'!$B$10,'Zmiana optymalnych portfeli'!$B$16,'Zmiana optymalnych portfeli'!$B$22,'Zmiana optymalnych portfeli'!$B$28,'Zmiana optymalnych portfeli'!$B$34,'Zmiana optymalnych portfeli'!$B$40,'Zmiana optymalnych portfeli'!$B$46,'Zmiana optymalnych portfeli'!$B$52,'Zmiana optymalnych portfeli'!$B$58,'Zmiana optymalnych portfeli'!$B$64)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0.19</c:v>
                </c:pt>
                <c:pt idx="4">
                  <c:v>0</c:v>
                </c:pt>
                <c:pt idx="5">
                  <c:v>0.23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D-4238-B4D6-245A64F2F619}"/>
            </c:ext>
          </c:extLst>
        </c:ser>
        <c:ser>
          <c:idx val="2"/>
          <c:order val="2"/>
          <c:tx>
            <c:v>Pallad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portfeli'!$C$4,'Zmiana optymalnych portfeli'!$C$10,'Zmiana optymalnych portfeli'!$C$16,'Zmiana optymalnych portfeli'!$C$22,'Zmiana optymalnych portfeli'!$C$28,'Zmiana optymalnych portfeli'!$C$34,'Zmiana optymalnych portfeli'!$C$40,'Zmiana optymalnych portfeli'!$C$46,'Zmiana optymalnych portfeli'!$C$52,'Zmiana optymalnych portfeli'!$C$58,'Zmiana optymalnych portfeli'!$C$64)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0.88</c:v>
                </c:pt>
                <c:pt idx="3">
                  <c:v>0.55000000000000004</c:v>
                </c:pt>
                <c:pt idx="4">
                  <c:v>0.33</c:v>
                </c:pt>
                <c:pt idx="5">
                  <c:v>0.28000000000000003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0D-4238-B4D6-245A64F2F619}"/>
            </c:ext>
          </c:extLst>
        </c:ser>
        <c:ser>
          <c:idx val="3"/>
          <c:order val="3"/>
          <c:tx>
            <c:v>ETF SP500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portfeli'!$D$4,'Zmiana optymalnych portfeli'!$D$10,'Zmiana optymalnych portfeli'!$D$16,'Zmiana optymalnych portfeli'!$D$22,'Zmiana optymalnych portfeli'!$D$28,'Zmiana optymalnych portfeli'!$D$34,'Zmiana optymalnych portfeli'!$D$40,'Zmiana optymalnych portfeli'!$D$46,'Zmiana optymalnych portfeli'!$D$52,'Zmiana optymalnych portfeli'!$D$58,'Zmiana optymalnych portfeli'!$D$64)</c:f>
              <c:numCache>
                <c:formatCode>0%</c:formatCode>
                <c:ptCount val="11"/>
                <c:pt idx="0">
                  <c:v>0.39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0.49</c:v>
                </c:pt>
                <c:pt idx="6">
                  <c:v>0.96</c:v>
                </c:pt>
                <c:pt idx="7">
                  <c:v>0</c:v>
                </c:pt>
                <c:pt idx="8">
                  <c:v>1</c:v>
                </c:pt>
                <c:pt idx="9">
                  <c:v>0.74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0D-4238-B4D6-245A64F2F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16720"/>
        <c:axId val="660814800"/>
      </c:line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v>CD Projekt Red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portfeli'!$A$3,'Zmiana optymalnych portfeli'!$A$9,'Zmiana optymalnych portfeli'!$A$15,'Zmiana optymalnych portfeli'!$A$21,'Zmiana optymalnych portfeli'!$A$27,'Zmiana optymalnych portfeli'!$A$33,'Zmiana optymalnych portfeli'!$A$39,'Zmiana optymalnych portfeli'!$A$45,'Zmiana optymalnych portfeli'!$A$51,'Zmiana optymalnych portfeli'!$A$57,'Zmiana optymalnych portfeli'!$A$63)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  <c:pt idx="5">
                  <c:v>0.08</c:v>
                </c:pt>
                <c:pt idx="6">
                  <c:v>0.11</c:v>
                </c:pt>
                <c:pt idx="7">
                  <c:v>0.04</c:v>
                </c:pt>
                <c:pt idx="8">
                  <c:v>0.03</c:v>
                </c:pt>
                <c:pt idx="9">
                  <c:v>0.05</c:v>
                </c:pt>
                <c:pt idx="1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2-4BDA-B416-BD1195F39905}"/>
            </c:ext>
          </c:extLst>
        </c:ser>
        <c:ser>
          <c:idx val="1"/>
          <c:order val="1"/>
          <c:tx>
            <c:v>GBP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portfeli'!$B$3,'Zmiana optymalnych portfeli'!$B$9,'Zmiana optymalnych portfeli'!$B$15,'Zmiana optymalnych portfeli'!$B$21,'Zmiana optymalnych portfeli'!$B$27,'Zmiana optymalnych portfeli'!$B$33,'Zmiana optymalnych portfeli'!$B$39,'Zmiana optymalnych portfeli'!$B$45,'Zmiana optymalnych portfeli'!$B$51,'Zmiana optymalnych portfeli'!$B$57,'Zmiana optymalnych portfeli'!$B$63)</c:f>
              <c:numCache>
                <c:formatCode>0%</c:formatCode>
                <c:ptCount val="11"/>
                <c:pt idx="0">
                  <c:v>0.88</c:v>
                </c:pt>
                <c:pt idx="1">
                  <c:v>0</c:v>
                </c:pt>
                <c:pt idx="2">
                  <c:v>0.27</c:v>
                </c:pt>
                <c:pt idx="3">
                  <c:v>0.8</c:v>
                </c:pt>
                <c:pt idx="4">
                  <c:v>0.99</c:v>
                </c:pt>
                <c:pt idx="5">
                  <c:v>0.81</c:v>
                </c:pt>
                <c:pt idx="6">
                  <c:v>0.79</c:v>
                </c:pt>
                <c:pt idx="7">
                  <c:v>0.96</c:v>
                </c:pt>
                <c:pt idx="8">
                  <c:v>0.95</c:v>
                </c:pt>
                <c:pt idx="9">
                  <c:v>0.93</c:v>
                </c:pt>
                <c:pt idx="10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2-4BDA-B416-BD1195F39905}"/>
            </c:ext>
          </c:extLst>
        </c:ser>
        <c:ser>
          <c:idx val="2"/>
          <c:order val="2"/>
          <c:tx>
            <c:v>Pallad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portfeli'!$C$3,'Zmiana optymalnych portfeli'!$C$9,'Zmiana optymalnych portfeli'!$C$15,'Zmiana optymalnych portfeli'!$C$21,'Zmiana optymalnych portfeli'!$C$27,'Zmiana optymalnych portfeli'!$C$33,'Zmiana optymalnych portfeli'!$C$39,'Zmiana optymalnych portfeli'!$C$45,'Zmiana optymalnych portfeli'!$C$51,'Zmiana optymalnych portfeli'!$C$57,'Zmiana optymalnych portfeli'!$C$63)</c:f>
              <c:numCache>
                <c:formatCode>0%</c:formatCode>
                <c:ptCount val="11"/>
                <c:pt idx="0">
                  <c:v>0.12</c:v>
                </c:pt>
                <c:pt idx="1">
                  <c:v>0</c:v>
                </c:pt>
                <c:pt idx="2">
                  <c:v>0.43</c:v>
                </c:pt>
                <c:pt idx="3">
                  <c:v>0.16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</c:v>
                </c:pt>
                <c:pt idx="8">
                  <c:v>0.02</c:v>
                </c:pt>
                <c:pt idx="9">
                  <c:v>0.01</c:v>
                </c:pt>
                <c:pt idx="1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2-4BDA-B416-BD1195F39905}"/>
            </c:ext>
          </c:extLst>
        </c:ser>
        <c:ser>
          <c:idx val="3"/>
          <c:order val="3"/>
          <c:tx>
            <c:v>ETF SP500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portfeli'!$D$3,'Zmiana optymalnych portfeli'!$D$9,'Zmiana optymalnych portfeli'!$D$15,'Zmiana optymalnych portfeli'!$D$21,'Zmiana optymalnych portfeli'!$D$27,'Zmiana optymalnych portfeli'!$D$33,'Zmiana optymalnych portfeli'!$D$39,'Zmiana optymalnych portfeli'!$D$45,'Zmiana optymalnych portfeli'!$D$51,'Zmiana optymalnych portfeli'!$D$57,'Zmiana optymalnych portfeli'!$D$63)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0.3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A2-4BDA-B416-BD1195F39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816720"/>
        <c:axId val="660814800"/>
      </c:area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CD Projekt Red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portfeli'!$A$3,'Zmiana optymalnych portfeli'!$A$9,'Zmiana optymalnych portfeli'!$A$15,'Zmiana optymalnych portfeli'!$A$21,'Zmiana optymalnych portfeli'!$A$27,'Zmiana optymalnych portfeli'!$A$33,'Zmiana optymalnych portfeli'!$A$39,'Zmiana optymalnych portfeli'!$A$45,'Zmiana optymalnych portfeli'!$A$51,'Zmiana optymalnych portfeli'!$A$57,'Zmiana optymalnych portfeli'!$A$63)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  <c:pt idx="5">
                  <c:v>0.08</c:v>
                </c:pt>
                <c:pt idx="6">
                  <c:v>0.11</c:v>
                </c:pt>
                <c:pt idx="7">
                  <c:v>0.04</c:v>
                </c:pt>
                <c:pt idx="8">
                  <c:v>0.03</c:v>
                </c:pt>
                <c:pt idx="9">
                  <c:v>0.05</c:v>
                </c:pt>
                <c:pt idx="1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A-450F-BCF5-9A58813D578B}"/>
            </c:ext>
          </c:extLst>
        </c:ser>
        <c:ser>
          <c:idx val="1"/>
          <c:order val="1"/>
          <c:tx>
            <c:v>GBP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portfeli'!$B$3,'Zmiana optymalnych portfeli'!$B$9,'Zmiana optymalnych portfeli'!$B$15,'Zmiana optymalnych portfeli'!$B$21,'Zmiana optymalnych portfeli'!$B$27,'Zmiana optymalnych portfeli'!$B$33,'Zmiana optymalnych portfeli'!$B$39,'Zmiana optymalnych portfeli'!$B$45,'Zmiana optymalnych portfeli'!$B$51,'Zmiana optymalnych portfeli'!$B$57,'Zmiana optymalnych portfeli'!$B$63)</c:f>
              <c:numCache>
                <c:formatCode>0%</c:formatCode>
                <c:ptCount val="11"/>
                <c:pt idx="0">
                  <c:v>0.88</c:v>
                </c:pt>
                <c:pt idx="1">
                  <c:v>0</c:v>
                </c:pt>
                <c:pt idx="2">
                  <c:v>0.27</c:v>
                </c:pt>
                <c:pt idx="3">
                  <c:v>0.8</c:v>
                </c:pt>
                <c:pt idx="4">
                  <c:v>0.99</c:v>
                </c:pt>
                <c:pt idx="5">
                  <c:v>0.81</c:v>
                </c:pt>
                <c:pt idx="6">
                  <c:v>0.79</c:v>
                </c:pt>
                <c:pt idx="7">
                  <c:v>0.96</c:v>
                </c:pt>
                <c:pt idx="8">
                  <c:v>0.95</c:v>
                </c:pt>
                <c:pt idx="9">
                  <c:v>0.93</c:v>
                </c:pt>
                <c:pt idx="1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A-450F-BCF5-9A58813D578B}"/>
            </c:ext>
          </c:extLst>
        </c:ser>
        <c:ser>
          <c:idx val="2"/>
          <c:order val="2"/>
          <c:tx>
            <c:v>Pallad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portfeli'!$C$3,'Zmiana optymalnych portfeli'!$C$9,'Zmiana optymalnych portfeli'!$C$15,'Zmiana optymalnych portfeli'!$C$21,'Zmiana optymalnych portfeli'!$C$27,'Zmiana optymalnych portfeli'!$C$33,'Zmiana optymalnych portfeli'!$C$39,'Zmiana optymalnych portfeli'!$C$45,'Zmiana optymalnych portfeli'!$C$51,'Zmiana optymalnych portfeli'!$C$57,'Zmiana optymalnych portfeli'!$C$63)</c:f>
              <c:numCache>
                <c:formatCode>0%</c:formatCode>
                <c:ptCount val="11"/>
                <c:pt idx="0">
                  <c:v>0.12</c:v>
                </c:pt>
                <c:pt idx="1">
                  <c:v>0</c:v>
                </c:pt>
                <c:pt idx="2">
                  <c:v>0.43</c:v>
                </c:pt>
                <c:pt idx="3">
                  <c:v>0.16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</c:v>
                </c:pt>
                <c:pt idx="8">
                  <c:v>0.02</c:v>
                </c:pt>
                <c:pt idx="9">
                  <c:v>0.01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7A-450F-BCF5-9A58813D578B}"/>
            </c:ext>
          </c:extLst>
        </c:ser>
        <c:ser>
          <c:idx val="3"/>
          <c:order val="3"/>
          <c:tx>
            <c:v>ETF SP500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portfeli'!$D$3,'Zmiana optymalnych portfeli'!$D$9,'Zmiana optymalnych portfeli'!$D$15,'Zmiana optymalnych portfeli'!$D$21,'Zmiana optymalnych portfeli'!$D$27,'Zmiana optymalnych portfeli'!$D$33,'Zmiana optymalnych portfeli'!$D$39,'Zmiana optymalnych portfeli'!$D$45,'Zmiana optymalnych portfeli'!$D$51,'Zmiana optymalnych portfeli'!$D$57,'Zmiana optymalnych portfeli'!$D$63)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0.3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7A-450F-BCF5-9A58813D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16720"/>
        <c:axId val="660814800"/>
      </c:line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v>CD Projekt Red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portfeli'!$Z$4,'Zmiana optymalnych portfeli'!$Z$10,'Zmiana optymalnych portfeli'!$Z$16,'Zmiana optymalnych portfeli'!$Z$22,'Zmiana optymalnych portfeli'!$Z$28,'Zmiana optymalnych portfeli'!$Z$34,'Zmiana optymalnych portfeli'!$Z$40,'Zmiana optymalnych portfeli'!$Z$46,'Zmiana optymalnych portfeli'!$Z$52,'Zmiana optymalnych portfeli'!$Z$58,'Zmiana optymalnych portfeli'!$Z$64)</c:f>
              <c:numCache>
                <c:formatCode>0%</c:formatCode>
                <c:ptCount val="11"/>
                <c:pt idx="0">
                  <c:v>0.61</c:v>
                </c:pt>
                <c:pt idx="1">
                  <c:v>0.86</c:v>
                </c:pt>
                <c:pt idx="2">
                  <c:v>1</c:v>
                </c:pt>
                <c:pt idx="3">
                  <c:v>0.92</c:v>
                </c:pt>
                <c:pt idx="4">
                  <c:v>0.79</c:v>
                </c:pt>
                <c:pt idx="5">
                  <c:v>0.46</c:v>
                </c:pt>
                <c:pt idx="6">
                  <c:v>0.22</c:v>
                </c:pt>
                <c:pt idx="7">
                  <c:v>0.21</c:v>
                </c:pt>
                <c:pt idx="8">
                  <c:v>0.16</c:v>
                </c:pt>
                <c:pt idx="9">
                  <c:v>0.17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A-4DCD-868D-4F4FC1CA1609}"/>
            </c:ext>
          </c:extLst>
        </c:ser>
        <c:ser>
          <c:idx val="1"/>
          <c:order val="1"/>
          <c:tx>
            <c:v>GBP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portfeli'!$AA$4,'Zmiana optymalnych portfeli'!$AA$10,'Zmiana optymalnych portfeli'!$AA$16,'Zmiana optymalnych portfeli'!$AA$22,'Zmiana optymalnych portfeli'!$AA$28,'Zmiana optymalnych portfeli'!$AA$34,'Zmiana optymalnych portfeli'!$AA$40,'Zmiana optymalnych portfeli'!$AA$46,'Zmiana optymalnych portfeli'!$AA$52,'Zmiana optymalnych portfeli'!$AA$58,'Zmiana optymalnych portfeli'!$AA$64)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A-4DCD-868D-4F4FC1CA1609}"/>
            </c:ext>
          </c:extLst>
        </c:ser>
        <c:ser>
          <c:idx val="2"/>
          <c:order val="2"/>
          <c:tx>
            <c:v>Pallad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portfeli'!$AB$4,'Zmiana optymalnych portfeli'!$AB$10,'Zmiana optymalnych portfeli'!$AB$16,'Zmiana optymalnych portfeli'!$AB$22,'Zmiana optymalnych portfeli'!$AB$28,'Zmiana optymalnych portfeli'!$AB$34,'Zmiana optymalnych portfeli'!$AB$40,'Zmiana optymalnych portfeli'!$AB$46,'Zmiana optymalnych portfeli'!$AB$52,'Zmiana optymalnych portfeli'!$AB$58,'Zmiana optymalnych portfeli'!$AB$64)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  <c:pt idx="4">
                  <c:v>0.21</c:v>
                </c:pt>
                <c:pt idx="5">
                  <c:v>0.28999999999999998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0.04</c:v>
                </c:pt>
                <c:pt idx="9">
                  <c:v>0</c:v>
                </c:pt>
                <c:pt idx="1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A-4DCD-868D-4F4FC1CA1609}"/>
            </c:ext>
          </c:extLst>
        </c:ser>
        <c:ser>
          <c:idx val="3"/>
          <c:order val="3"/>
          <c:tx>
            <c:v>ETF SP500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portfeli'!$AC$4,'Zmiana optymalnych portfeli'!$AC$10,'Zmiana optymalnych portfeli'!$AC$16,'Zmiana optymalnych portfeli'!$AC$22,'Zmiana optymalnych portfeli'!$AC$28,'Zmiana optymalnych portfeli'!$AC$34,'Zmiana optymalnych portfeli'!$AC$40,'Zmiana optymalnych portfeli'!$AC$46,'Zmiana optymalnych portfeli'!$AC$52,'Zmiana optymalnych portfeli'!$AC$58,'Zmiana optymalnych portfeli'!$AC$64)</c:f>
              <c:numCache>
                <c:formatCode>0%</c:formatCode>
                <c:ptCount val="11"/>
                <c:pt idx="0">
                  <c:v>0.39</c:v>
                </c:pt>
                <c:pt idx="1">
                  <c:v>0.14000000000000001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0.64</c:v>
                </c:pt>
                <c:pt idx="7">
                  <c:v>0.63</c:v>
                </c:pt>
                <c:pt idx="8">
                  <c:v>0.8</c:v>
                </c:pt>
                <c:pt idx="9">
                  <c:v>0.83</c:v>
                </c:pt>
                <c:pt idx="10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8A-4DCD-868D-4F4FC1CA1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816720"/>
        <c:axId val="660814800"/>
      </c:area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CD Projekt Red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portfeli'!$Z$4,'Zmiana optymalnych portfeli'!$Z$10,'Zmiana optymalnych portfeli'!$Z$16,'Zmiana optymalnych portfeli'!$Z$22,'Zmiana optymalnych portfeli'!$Z$28,'Zmiana optymalnych portfeli'!$Z$34,'Zmiana optymalnych portfeli'!$Z$40,'Zmiana optymalnych portfeli'!$Z$46,'Zmiana optymalnych portfeli'!$Z$52,'Zmiana optymalnych portfeli'!$Z$58,'Zmiana optymalnych portfeli'!$Z$64)</c:f>
              <c:numCache>
                <c:formatCode>0%</c:formatCode>
                <c:ptCount val="11"/>
                <c:pt idx="0">
                  <c:v>0.61</c:v>
                </c:pt>
                <c:pt idx="1">
                  <c:v>0.86</c:v>
                </c:pt>
                <c:pt idx="2">
                  <c:v>1</c:v>
                </c:pt>
                <c:pt idx="3">
                  <c:v>0.92</c:v>
                </c:pt>
                <c:pt idx="4">
                  <c:v>0.79</c:v>
                </c:pt>
                <c:pt idx="5">
                  <c:v>0.46</c:v>
                </c:pt>
                <c:pt idx="6">
                  <c:v>0.22</c:v>
                </c:pt>
                <c:pt idx="7">
                  <c:v>0.21</c:v>
                </c:pt>
                <c:pt idx="8">
                  <c:v>0.16</c:v>
                </c:pt>
                <c:pt idx="9">
                  <c:v>0.17</c:v>
                </c:pt>
                <c:pt idx="1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0-439D-BF98-1169597A3A26}"/>
            </c:ext>
          </c:extLst>
        </c:ser>
        <c:ser>
          <c:idx val="1"/>
          <c:order val="1"/>
          <c:tx>
            <c:v>GBP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portfeli'!$AA$4,'Zmiana optymalnych portfeli'!$AA$10,'Zmiana optymalnych portfeli'!$AA$16,'Zmiana optymalnych portfeli'!$AA$22,'Zmiana optymalnych portfeli'!$AA$28,'Zmiana optymalnych portfeli'!$AA$34,'Zmiana optymalnych portfeli'!$AA$40,'Zmiana optymalnych portfeli'!$AA$46,'Zmiana optymalnych portfeli'!$AA$52,'Zmiana optymalnych portfeli'!$AA$58,'Zmiana optymalnych portfeli'!$AA$64)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0-439D-BF98-1169597A3A26}"/>
            </c:ext>
          </c:extLst>
        </c:ser>
        <c:ser>
          <c:idx val="2"/>
          <c:order val="2"/>
          <c:tx>
            <c:v>Pallad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portfeli'!$AB$4,'Zmiana optymalnych portfeli'!$AB$10,'Zmiana optymalnych portfeli'!$AB$16,'Zmiana optymalnych portfeli'!$AB$22,'Zmiana optymalnych portfeli'!$AB$28,'Zmiana optymalnych portfeli'!$AB$34,'Zmiana optymalnych portfeli'!$AB$40,'Zmiana optymalnych portfeli'!$AB$46,'Zmiana optymalnych portfeli'!$AB$52,'Zmiana optymalnych portfeli'!$AB$58,'Zmiana optymalnych portfeli'!$AB$64)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  <c:pt idx="4">
                  <c:v>0.21</c:v>
                </c:pt>
                <c:pt idx="5">
                  <c:v>0.28999999999999998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0.04</c:v>
                </c:pt>
                <c:pt idx="9">
                  <c:v>0</c:v>
                </c:pt>
                <c:pt idx="1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0-439D-BF98-1169597A3A26}"/>
            </c:ext>
          </c:extLst>
        </c:ser>
        <c:ser>
          <c:idx val="3"/>
          <c:order val="3"/>
          <c:tx>
            <c:v>ETF SP500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portfeli'!$AC$4,'Zmiana optymalnych portfeli'!$AC$10,'Zmiana optymalnych portfeli'!$AC$16,'Zmiana optymalnych portfeli'!$AC$22,'Zmiana optymalnych portfeli'!$AC$28,'Zmiana optymalnych portfeli'!$AC$34,'Zmiana optymalnych portfeli'!$AC$40,'Zmiana optymalnych portfeli'!$AC$46,'Zmiana optymalnych portfeli'!$AC$52,'Zmiana optymalnych portfeli'!$AC$58,'Zmiana optymalnych portfeli'!$AC$64)</c:f>
              <c:numCache>
                <c:formatCode>0%</c:formatCode>
                <c:ptCount val="11"/>
                <c:pt idx="0">
                  <c:v>0.39</c:v>
                </c:pt>
                <c:pt idx="1">
                  <c:v>0.14000000000000001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0.64</c:v>
                </c:pt>
                <c:pt idx="7">
                  <c:v>0.63</c:v>
                </c:pt>
                <c:pt idx="8">
                  <c:v>0.8</c:v>
                </c:pt>
                <c:pt idx="9">
                  <c:v>0.83</c:v>
                </c:pt>
                <c:pt idx="10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E0-439D-BF98-1169597A3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16720"/>
        <c:axId val="660814800"/>
      </c:line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v>CD Projekt Red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portfeli'!$Z$3,'Zmiana optymalnych portfeli'!$Z$9,'Zmiana optymalnych portfeli'!$Z$15,'Zmiana optymalnych portfeli'!$Z$21,'Zmiana optymalnych portfeli'!$Z$27,'Zmiana optymalnych portfeli'!$Z$33,'Zmiana optymalnych portfeli'!$Z$39,'Zmiana optymalnych portfeli'!$Z$45,'Zmiana optymalnych portfeli'!$Z$51,'Zmiana optymalnych portfeli'!$Z$57,'Zmiana optymalnych portfeli'!$Z$63)</c:f>
              <c:numCache>
                <c:formatCode>0%</c:formatCode>
                <c:ptCount val="11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4-4807-A80F-F21A4432674B}"/>
            </c:ext>
          </c:extLst>
        </c:ser>
        <c:ser>
          <c:idx val="1"/>
          <c:order val="1"/>
          <c:tx>
            <c:v>GBP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portfeli'!$AA$3,'Zmiana optymalnych portfeli'!$AA$9,'Zmiana optymalnych portfeli'!$AA$15,'Zmiana optymalnych portfeli'!$AA$21,'Zmiana optymalnych portfeli'!$AA$27,'Zmiana optymalnych portfeli'!$AA$33,'Zmiana optymalnych portfeli'!$AA$39,'Zmiana optymalnych portfeli'!$AA$45,'Zmiana optymalnych portfeli'!$AA$51,'Zmiana optymalnych portfeli'!$AA$57,'Zmiana optymalnych portfeli'!$AA$63)</c:f>
              <c:numCache>
                <c:formatCode>0%</c:formatCode>
                <c:ptCount val="11"/>
                <c:pt idx="0">
                  <c:v>0.88</c:v>
                </c:pt>
                <c:pt idx="1">
                  <c:v>0.62</c:v>
                </c:pt>
                <c:pt idx="2">
                  <c:v>0.59</c:v>
                </c:pt>
                <c:pt idx="3">
                  <c:v>0.71</c:v>
                </c:pt>
                <c:pt idx="4">
                  <c:v>0.77</c:v>
                </c:pt>
                <c:pt idx="5">
                  <c:v>0.77</c:v>
                </c:pt>
                <c:pt idx="6">
                  <c:v>0.8</c:v>
                </c:pt>
                <c:pt idx="7">
                  <c:v>0.83</c:v>
                </c:pt>
                <c:pt idx="8">
                  <c:v>0.85</c:v>
                </c:pt>
                <c:pt idx="9">
                  <c:v>0.85</c:v>
                </c:pt>
                <c:pt idx="1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4-4807-A80F-F21A4432674B}"/>
            </c:ext>
          </c:extLst>
        </c:ser>
        <c:ser>
          <c:idx val="2"/>
          <c:order val="2"/>
          <c:tx>
            <c:v>Pallad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portfeli'!$AB$3,'Zmiana optymalnych portfeli'!$AB$9,'Zmiana optymalnych portfeli'!$AB$15,'Zmiana optymalnych portfeli'!$AB$21,'Zmiana optymalnych portfeli'!$AB$27,'Zmiana optymalnych portfeli'!$AB$33,'Zmiana optymalnych portfeli'!$AB$39,'Zmiana optymalnych portfeli'!$AB$45,'Zmiana optymalnych portfeli'!$AB$51,'Zmiana optymalnych portfeli'!$AB$57,'Zmiana optymalnych portfeli'!$AB$63)</c:f>
              <c:numCache>
                <c:formatCode>0%</c:formatCode>
                <c:ptCount val="11"/>
                <c:pt idx="0">
                  <c:v>0.12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0.11</c:v>
                </c:pt>
                <c:pt idx="4">
                  <c:v>0.09</c:v>
                </c:pt>
                <c:pt idx="5">
                  <c:v>0.09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4-4807-A80F-F21A4432674B}"/>
            </c:ext>
          </c:extLst>
        </c:ser>
        <c:ser>
          <c:idx val="3"/>
          <c:order val="3"/>
          <c:tx>
            <c:v>ETF SP500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portfeli'!$AC$3,'Zmiana optymalnych portfeli'!$AC$9,'Zmiana optymalnych portfeli'!$AC$15,'Zmiana optymalnych portfeli'!$AC$21,'Zmiana optymalnych portfeli'!$AC$27,'Zmiana optymalnych portfeli'!$AC$33,'Zmiana optymalnych portfeli'!$AC$39,'Zmiana optymalnych portfeli'!$AC$45,'Zmiana optymalnych portfeli'!$AC$51,'Zmiana optymalnych portfeli'!$AC$57,'Zmiana optymalnych portfeli'!$AC$63)</c:f>
              <c:numCache>
                <c:formatCode>0%</c:formatCode>
                <c:ptCount val="11"/>
                <c:pt idx="0">
                  <c:v>0</c:v>
                </c:pt>
                <c:pt idx="1">
                  <c:v>0.28000000000000003</c:v>
                </c:pt>
                <c:pt idx="2">
                  <c:v>0.31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0.12</c:v>
                </c:pt>
                <c:pt idx="6">
                  <c:v>0.08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A4-4807-A80F-F21A4432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816720"/>
        <c:axId val="660814800"/>
      </c:area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CD Projekt Red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portfeli'!$Z$3,'Zmiana optymalnych portfeli'!$Z$9,'Zmiana optymalnych portfeli'!$Z$15,'Zmiana optymalnych portfeli'!$Z$21,'Zmiana optymalnych portfeli'!$Z$27,'Zmiana optymalnych portfeli'!$Z$33,'Zmiana optymalnych portfeli'!$Z$39,'Zmiana optymalnych portfeli'!$Z$45,'Zmiana optymalnych portfeli'!$Z$51,'Zmiana optymalnych portfeli'!$Z$57,'Zmiana optymalnych portfeli'!$Z$63)</c:f>
              <c:numCache>
                <c:formatCode>0%</c:formatCode>
                <c:ptCount val="11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2-4ABE-96D2-0ECA1A1BD73A}"/>
            </c:ext>
          </c:extLst>
        </c:ser>
        <c:ser>
          <c:idx val="1"/>
          <c:order val="1"/>
          <c:tx>
            <c:v>GBP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portfeli'!$AA$3,'Zmiana optymalnych portfeli'!$AA$9,'Zmiana optymalnych portfeli'!$AA$15,'Zmiana optymalnych portfeli'!$AA$21,'Zmiana optymalnych portfeli'!$AA$27,'Zmiana optymalnych portfeli'!$AA$33,'Zmiana optymalnych portfeli'!$AA$39,'Zmiana optymalnych portfeli'!$AA$45,'Zmiana optymalnych portfeli'!$AA$51,'Zmiana optymalnych portfeli'!$AA$57,'Zmiana optymalnych portfeli'!$AA$63)</c:f>
              <c:numCache>
                <c:formatCode>0%</c:formatCode>
                <c:ptCount val="11"/>
                <c:pt idx="0">
                  <c:v>0.88</c:v>
                </c:pt>
                <c:pt idx="1">
                  <c:v>0.62</c:v>
                </c:pt>
                <c:pt idx="2">
                  <c:v>0.59</c:v>
                </c:pt>
                <c:pt idx="3">
                  <c:v>0.71</c:v>
                </c:pt>
                <c:pt idx="4">
                  <c:v>0.77</c:v>
                </c:pt>
                <c:pt idx="5">
                  <c:v>0.77</c:v>
                </c:pt>
                <c:pt idx="6">
                  <c:v>0.8</c:v>
                </c:pt>
                <c:pt idx="7">
                  <c:v>0.83</c:v>
                </c:pt>
                <c:pt idx="8">
                  <c:v>0.85</c:v>
                </c:pt>
                <c:pt idx="9">
                  <c:v>0.85</c:v>
                </c:pt>
                <c:pt idx="1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2-4ABE-96D2-0ECA1A1BD73A}"/>
            </c:ext>
          </c:extLst>
        </c:ser>
        <c:ser>
          <c:idx val="2"/>
          <c:order val="2"/>
          <c:tx>
            <c:v>Pallad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portfeli'!$AB$3,'Zmiana optymalnych portfeli'!$AB$9,'Zmiana optymalnych portfeli'!$AB$15,'Zmiana optymalnych portfeli'!$AB$21,'Zmiana optymalnych portfeli'!$AB$27,'Zmiana optymalnych portfeli'!$AB$33,'Zmiana optymalnych portfeli'!$AB$39,'Zmiana optymalnych portfeli'!$AB$45,'Zmiana optymalnych portfeli'!$AB$51,'Zmiana optymalnych portfeli'!$AB$57,'Zmiana optymalnych portfeli'!$AB$63)</c:f>
              <c:numCache>
                <c:formatCode>0%</c:formatCode>
                <c:ptCount val="11"/>
                <c:pt idx="0">
                  <c:v>0.12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0.11</c:v>
                </c:pt>
                <c:pt idx="4">
                  <c:v>0.09</c:v>
                </c:pt>
                <c:pt idx="5">
                  <c:v>0.09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2-4ABE-96D2-0ECA1A1BD73A}"/>
            </c:ext>
          </c:extLst>
        </c:ser>
        <c:ser>
          <c:idx val="3"/>
          <c:order val="3"/>
          <c:tx>
            <c:v>ETF SP500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('Zmiana optymalnych portfeli'!$A$1,'Zmiana optymalnych portfeli'!$A$7,'Zmiana optymalnych portfeli'!$A$13,'Zmiana optymalnych portfeli'!$A$19,'Zmiana optymalnych portfeli'!$A$25,'Zmiana optymalnych portfeli'!$A$31,'Zmiana optymalnych portfeli'!$A$37,'Zmiana optymalnych portfeli'!$A$43,'Zmiana optymalnych portfeli'!$A$49,'Zmiana optymalnych portfeli'!$A$55,'Zmiana optymalnych portfeli'!$A$61)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('Zmiana optymalnych portfeli'!$AC$3,'Zmiana optymalnych portfeli'!$AC$9,'Zmiana optymalnych portfeli'!$AC$15,'Zmiana optymalnych portfeli'!$AC$21,'Zmiana optymalnych portfeli'!$AC$27,'Zmiana optymalnych portfeli'!$AC$33,'Zmiana optymalnych portfeli'!$AC$39,'Zmiana optymalnych portfeli'!$AC$45,'Zmiana optymalnych portfeli'!$AC$51,'Zmiana optymalnych portfeli'!$AC$57,'Zmiana optymalnych portfeli'!$AC$63)</c:f>
              <c:numCache>
                <c:formatCode>0%</c:formatCode>
                <c:ptCount val="11"/>
                <c:pt idx="0">
                  <c:v>0</c:v>
                </c:pt>
                <c:pt idx="1">
                  <c:v>0.28000000000000003</c:v>
                </c:pt>
                <c:pt idx="2">
                  <c:v>0.31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0.12</c:v>
                </c:pt>
                <c:pt idx="6">
                  <c:v>0.08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92-4ABE-96D2-0ECA1A1BD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16720"/>
        <c:axId val="660814800"/>
      </c:lineChart>
      <c:catAx>
        <c:axId val="66081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4800"/>
        <c:crosses val="autoZero"/>
        <c:auto val="1"/>
        <c:lblAlgn val="ctr"/>
        <c:lblOffset val="100"/>
        <c:noMultiLvlLbl val="0"/>
      </c:catAx>
      <c:valAx>
        <c:axId val="660814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8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29</xdr:col>
      <xdr:colOff>1</xdr:colOff>
      <xdr:row>17</xdr:row>
      <xdr:rowOff>33339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630EB1B-E2B2-42CA-8F4D-19DC0A404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28</xdr:col>
      <xdr:colOff>600076</xdr:colOff>
      <xdr:row>32</xdr:row>
      <xdr:rowOff>147640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ADAD1CD-56BE-432F-BE1B-5163042C6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28</xdr:col>
      <xdr:colOff>581026</xdr:colOff>
      <xdr:row>49</xdr:row>
      <xdr:rowOff>14289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FD7E6C5-2E49-47A1-9177-62BD148FD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49</xdr:row>
      <xdr:rowOff>0</xdr:rowOff>
    </xdr:from>
    <xdr:to>
      <xdr:col>28</xdr:col>
      <xdr:colOff>590550</xdr:colOff>
      <xdr:row>65</xdr:row>
      <xdr:rowOff>4764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49098A4-CF4B-4A31-829F-84ABC8C27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4</xdr:row>
      <xdr:rowOff>14286</xdr:rowOff>
    </xdr:from>
    <xdr:to>
      <xdr:col>20</xdr:col>
      <xdr:colOff>266699</xdr:colOff>
      <xdr:row>23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6EE0EFB-6F57-D2F2-7CF7-4711BC563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24</xdr:row>
      <xdr:rowOff>33336</xdr:rowOff>
    </xdr:from>
    <xdr:to>
      <xdr:col>20</xdr:col>
      <xdr:colOff>304800</xdr:colOff>
      <xdr:row>42</xdr:row>
      <xdr:rowOff>190499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1A35A2C-0F23-EC18-AC15-FF178A7CC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600074</xdr:colOff>
      <xdr:row>66</xdr:row>
      <xdr:rowOff>61911</xdr:rowOff>
    </xdr:from>
    <xdr:to>
      <xdr:col>23</xdr:col>
      <xdr:colOff>0</xdr:colOff>
      <xdr:row>87</xdr:row>
      <xdr:rowOff>28574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B26E5C3-9AD5-6986-5CF5-3C0E4C0C7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600075</xdr:colOff>
      <xdr:row>44</xdr:row>
      <xdr:rowOff>28575</xdr:rowOff>
    </xdr:from>
    <xdr:to>
      <xdr:col>20</xdr:col>
      <xdr:colOff>247650</xdr:colOff>
      <xdr:row>65</xdr:row>
      <xdr:rowOff>14289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5CC05CB-22A9-4006-A2F1-DF3262923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</xdr:row>
      <xdr:rowOff>14286</xdr:rowOff>
    </xdr:from>
    <xdr:to>
      <xdr:col>23</xdr:col>
      <xdr:colOff>9524</xdr:colOff>
      <xdr:row>27</xdr:row>
      <xdr:rowOff>171449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BB42335-0855-9EB6-A374-2D2160DE9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28</xdr:row>
      <xdr:rowOff>19050</xdr:rowOff>
    </xdr:from>
    <xdr:to>
      <xdr:col>22</xdr:col>
      <xdr:colOff>600075</xdr:colOff>
      <xdr:row>53</xdr:row>
      <xdr:rowOff>176213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D59FE46-5E9C-4EB2-AFFE-1A60AF4E6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28575</xdr:colOff>
      <xdr:row>56</xdr:row>
      <xdr:rowOff>38100</xdr:rowOff>
    </xdr:from>
    <xdr:to>
      <xdr:col>23</xdr:col>
      <xdr:colOff>19050</xdr:colOff>
      <xdr:row>82</xdr:row>
      <xdr:rowOff>4763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44D77464-44CB-44FF-978D-E1C7F43A8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82</xdr:row>
      <xdr:rowOff>47625</xdr:rowOff>
    </xdr:from>
    <xdr:to>
      <xdr:col>23</xdr:col>
      <xdr:colOff>9525</xdr:colOff>
      <xdr:row>108</xdr:row>
      <xdr:rowOff>14288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D4CAD02-9D59-4DF6-B297-FBB68ED91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19050</xdr:colOff>
      <xdr:row>2</xdr:row>
      <xdr:rowOff>19050</xdr:rowOff>
    </xdr:from>
    <xdr:to>
      <xdr:col>49</xdr:col>
      <xdr:colOff>9525</xdr:colOff>
      <xdr:row>27</xdr:row>
      <xdr:rowOff>176213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07F750F-A4B4-4A8C-A82D-3D1BD38F2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28</xdr:row>
      <xdr:rowOff>0</xdr:rowOff>
    </xdr:from>
    <xdr:to>
      <xdr:col>48</xdr:col>
      <xdr:colOff>600075</xdr:colOff>
      <xdr:row>53</xdr:row>
      <xdr:rowOff>157163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C69C05AC-9C8A-4F8D-8B6C-A13E8DCD2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28575</xdr:colOff>
      <xdr:row>56</xdr:row>
      <xdr:rowOff>47625</xdr:rowOff>
    </xdr:from>
    <xdr:to>
      <xdr:col>49</xdr:col>
      <xdr:colOff>19050</xdr:colOff>
      <xdr:row>82</xdr:row>
      <xdr:rowOff>14288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1CC6D50-C613-47C6-9028-22CF21CE9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82</xdr:row>
      <xdr:rowOff>0</xdr:rowOff>
    </xdr:from>
    <xdr:to>
      <xdr:col>48</xdr:col>
      <xdr:colOff>600075</xdr:colOff>
      <xdr:row>107</xdr:row>
      <xdr:rowOff>157163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EA02A523-0F87-4F26-8C8A-BC9025C86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Iwaszkiewicz" refreshedDate="45978.589357523146" createdVersion="8" refreshedVersion="8" minRefreshableVersion="3" recordCount="130" xr:uid="{7253FD34-2987-4985-AA5C-4E596566941D}">
  <cacheSource type="worksheet">
    <worksheetSource ref="A1:J131" sheet="Obliczenia"/>
  </cacheSource>
  <cacheFields count="12">
    <cacheField name="Data" numFmtId="14">
      <sharedItems containsSemiMixedTypes="0" containsNonDate="0" containsDate="1" containsString="0" minDate="2015-01-31T00:00:00" maxDate="2025-11-01T00:00:00" count="130">
        <d v="2015-01-31T00:00:00"/>
        <d v="2015-02-28T00:00:00"/>
        <d v="2015-03-31T00:00:00"/>
        <d v="2015-04-30T00:00:00"/>
        <d v="2015-05-31T00:00:00"/>
        <d v="2015-06-30T00:00:00"/>
        <d v="2015-07-31T00:00:00"/>
        <d v="2015-08-31T00:00:00"/>
        <d v="2015-09-30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</sharedItems>
      <fieldGroup par="11"/>
    </cacheField>
    <cacheField name="CDPR" numFmtId="164">
      <sharedItems containsSemiMixedTypes="0" containsString="0" containsNumber="1" minValue="15.005699999999999" maxValue="414.07100000000003" count="130">
        <n v="15.005699999999999"/>
        <n v="16.348299999999998"/>
        <n v="18.229199999999999"/>
        <n v="19.1646"/>
        <n v="22.452300000000001"/>
        <n v="22.026700000000002"/>
        <n v="24.5458"/>
        <n v="22.508500000000002"/>
        <n v="24.944099999999999"/>
        <n v="24.638100000000001"/>
        <n v="20.925000000000001"/>
        <n v="20.516999999999999"/>
        <n v="21.3874"/>
        <n v="21.303899999999999"/>
        <n v="23.804600000000001"/>
        <n v="23.573399999999999"/>
        <n v="24.861599999999999"/>
        <n v="25.379300000000001"/>
        <n v="32.233199999999997"/>
        <n v="39.366799999999998"/>
        <n v="36.921599999999998"/>
        <n v="36.940100000000001"/>
        <n v="44.193300000000001"/>
        <n v="48.351300000000002"/>
        <n v="54.325099999999999"/>
        <n v="65.256299999999996"/>
        <n v="68.729299999999995"/>
        <n v="62.791600000000003"/>
        <n v="74.1785"/>
        <n v="80.859399999999994"/>
        <n v="81.2928"/>
        <n v="78.378200000000007"/>
        <n v="109.254"/>
        <n v="113.334"/>
        <n v="95.393000000000001"/>
        <n v="91.159300000000002"/>
        <n v="109.02"/>
        <n v="100.559"/>
        <n v="102.81399999999999"/>
        <n v="117.279"/>
        <n v="138.34"/>
        <n v="152.05799999999999"/>
        <n v="185.614"/>
        <n v="193.6"/>
        <n v="176.02500000000001"/>
        <n v="148.77500000000001"/>
        <n v="133.63800000000001"/>
        <n v="136.83500000000001"/>
        <n v="178.56200000000001"/>
        <n v="178.648"/>
        <n v="187.964"/>
        <n v="201.965"/>
        <n v="196.22200000000001"/>
        <n v="203.30600000000001"/>
        <n v="217.18700000000001"/>
        <n v="238.91"/>
        <n v="229.84700000000001"/>
        <n v="238.05600000000001"/>
        <n v="247.87700000000001"/>
        <n v="263.92599999999999"/>
        <n v="265.91800000000001"/>
        <n v="262.98399999999998"/>
        <n v="273"/>
        <n v="337.68200000000002"/>
        <n v="381.30200000000002"/>
        <n v="372.899"/>
        <n v="379.60199999999998"/>
        <n v="414.07100000000003"/>
        <n v="395.09699999999998"/>
        <n v="316.71699999999998"/>
        <n v="367.798"/>
        <n v="259.39800000000002"/>
        <n v="288.19400000000002"/>
        <n v="223.42400000000001"/>
        <n v="179.892"/>
        <n v="164.41499999999999"/>
        <n v="163.93"/>
        <n v="179.745"/>
        <n v="179.47300000000001"/>
        <n v="164.494"/>
        <n v="186.33199999999999"/>
        <n v="168.923"/>
        <n v="179.24100000000001"/>
        <n v="187.40199999999999"/>
        <n v="174.92699999999999"/>
        <n v="163.59899999999999"/>
        <n v="168.78700000000001"/>
        <n v="117.53100000000001"/>
        <n v="105.56399999999999"/>
        <n v="92.952699999999993"/>
        <n v="89.131399999999999"/>
        <n v="82.564999999999998"/>
        <n v="98.347899999999996"/>
        <n v="124.75"/>
        <n v="128.559"/>
        <n v="127.244"/>
        <n v="136.745"/>
        <n v="129.952"/>
        <n v="109.163"/>
        <n v="111.206"/>
        <n v="118.96"/>
        <n v="153.172"/>
        <n v="161.58000000000001"/>
        <n v="145.94999999999999"/>
        <n v="123.843"/>
        <n v="103.86199999999999"/>
        <n v="107.67"/>
        <n v="113.754"/>
        <n v="103.61499999999999"/>
        <n v="108.511"/>
        <n v="115.633"/>
        <n v="117.21599999999999"/>
        <n v="128.88800000000001"/>
        <n v="138.446"/>
        <n v="158.47300000000001"/>
        <n v="182.43600000000001"/>
        <n v="173.518"/>
        <n v="160.167"/>
        <n v="166.59299999999999"/>
        <n v="190.755"/>
        <n v="210.334"/>
        <n v="220.79599999999999"/>
        <n v="211.03100000000001"/>
        <n v="232.05500000000001"/>
        <n v="220.995"/>
        <n v="280.8"/>
        <n v="251.2"/>
        <n v="252"/>
        <n v="270.5"/>
        <n v="253.8"/>
      </sharedItems>
    </cacheField>
    <cacheField name="GBPPLN" numFmtId="164">
      <sharedItems containsSemiMixedTypes="0" containsString="0" containsNumber="1" minValue="4.6063599999999996" maxValue="6.0827200000000001"/>
    </cacheField>
    <cacheField name="Pallad" numFmtId="164">
      <sharedItems containsSemiMixedTypes="0" containsString="0" containsNumber="1" minValue="494.3" maxValue="2937.3"/>
    </cacheField>
    <cacheField name="ETFSP500" numFmtId="164">
      <sharedItems containsSemiMixedTypes="0" containsString="0" containsNumber="1" minValue="63.564" maxValue="261.89999999999998"/>
    </cacheField>
    <cacheField name="iCDPR" numFmtId="0">
      <sharedItems containsString="0" containsBlank="1" containsNumber="1" minValue="-0.36193543640361053" maxValue="0.33212961911207906"/>
    </cacheField>
    <cacheField name="iGBPPLN" numFmtId="0">
      <sharedItems containsString="0" containsBlank="1" containsNumber="1" minValue="-8.6987013201002092E-2" maxValue="9.0938921667822706E-2"/>
    </cacheField>
    <cacheField name="iPallad" numFmtId="0">
      <sharedItems containsString="0" containsBlank="1" containsNumber="1" minValue="-0.25510361641781554" maxValue="0.215148786800376"/>
    </cacheField>
    <cacheField name="iETFSP500" numFmtId="0">
      <sharedItems containsString="0" containsBlank="1" containsNumber="1" minValue="-0.10254052340364476" maxValue="0.12499947952271433"/>
    </cacheField>
    <cacheField name="Miesiące (Data)" numFmtId="0" databaseField="0">
      <fieldGroup base="0">
        <rangePr groupBy="months" startDate="2015-01-31T00:00:00" endDate="2025-11-01T00:00:00"/>
        <groupItems count="14">
          <s v="&lt;31.01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1.2025"/>
        </groupItems>
      </fieldGroup>
    </cacheField>
    <cacheField name="Kwartały (Data)" numFmtId="0" databaseField="0">
      <fieldGroup base="0">
        <rangePr groupBy="quarters" startDate="2015-01-31T00:00:00" endDate="2025-11-01T00:00:00"/>
        <groupItems count="6">
          <s v="&lt;31.01.2015"/>
          <s v="Kwartał1"/>
          <s v="Kwartał2"/>
          <s v="Kwartał3"/>
          <s v="Kwartał4"/>
          <s v="&gt;01.11.2025"/>
        </groupItems>
      </fieldGroup>
    </cacheField>
    <cacheField name="Lata (Data)" numFmtId="0" databaseField="0">
      <fieldGroup base="0">
        <rangePr groupBy="years" startDate="2015-01-31T00:00:00" endDate="2025-11-01T00:00:00"/>
        <groupItems count="13">
          <s v="&lt;31.01.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.1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n v="5.5770999999999997"/>
    <n v="769.75"/>
    <n v="64.800700000000006"/>
    <m/>
    <m/>
    <m/>
    <m/>
  </r>
  <r>
    <x v="1"/>
    <x v="1"/>
    <n v="5.7196999999999996"/>
    <n v="818.6"/>
    <n v="68.094700000000003"/>
    <n v="8.5693787481768008E-2"/>
    <n v="2.5247428430014346E-2"/>
    <n v="6.1529777253692949E-2"/>
    <n v="4.9582977632387601E-2"/>
  </r>
  <r>
    <x v="2"/>
    <x v="2"/>
    <n v="5.6244699999999996"/>
    <n v="736"/>
    <n v="68.723500000000001"/>
    <n v="0.10890078761721675"/>
    <n v="-1.6789635034768796E-2"/>
    <n v="-0.10636544532942645"/>
    <n v="9.1918242931213773E-3"/>
  </r>
  <r>
    <x v="3"/>
    <x v="3"/>
    <n v="5.5305999999999997"/>
    <n v="777.75"/>
    <n v="66.057500000000005"/>
    <n v="5.0040123215108055E-2"/>
    <n v="-1.6830412684586061E-2"/>
    <n v="5.5175017048870262E-2"/>
    <n v="-3.956563283189414E-2"/>
  </r>
  <r>
    <x v="4"/>
    <x v="4"/>
    <n v="5.7228000000000003"/>
    <n v="777.2"/>
    <n v="69.242099999999994"/>
    <n v="0.15832823159468523"/>
    <n v="3.4161887365558953E-2"/>
    <n v="-7.0741827446134278E-4"/>
    <n v="4.7083484274879399E-2"/>
  </r>
  <r>
    <x v="5"/>
    <x v="5"/>
    <n v="5.9105100000000004"/>
    <n v="674.63"/>
    <n v="68.027600000000007"/>
    <n v="-1.9137704968614132E-2"/>
    <n v="3.2273926001059654E-2"/>
    <n v="-0.14153332506702213"/>
    <n v="-1.7695553956425525E-2"/>
  </r>
  <r>
    <x v="6"/>
    <x v="6"/>
    <n v="5.891"/>
    <n v="612.20000000000005"/>
    <n v="69.361900000000006"/>
    <n v="0.10828540631438015"/>
    <n v="-3.3063595715513133E-3"/>
    <n v="-9.7105365924950643E-2"/>
    <n v="1.9424220226274439E-2"/>
  </r>
  <r>
    <x v="7"/>
    <x v="7"/>
    <n v="5.7914000000000003"/>
    <n v="600.63"/>
    <n v="65.444800000000001"/>
    <n v="-8.6647744526945319E-2"/>
    <n v="-1.7051703982290854E-2"/>
    <n v="-1.9079922159594413E-2"/>
    <n v="-5.8130686169571281E-2"/>
  </r>
  <r>
    <x v="8"/>
    <x v="8"/>
    <n v="5.7483700000000004"/>
    <n v="652.9"/>
    <n v="63.564"/>
    <n v="0.10274430563940602"/>
    <n v="-7.4577221964271046E-3"/>
    <n v="8.3444873840870001E-2"/>
    <n v="-2.9159766887400684E-2"/>
  </r>
  <r>
    <x v="9"/>
    <x v="9"/>
    <n v="5.95906"/>
    <n v="676.05"/>
    <n v="70.727000000000004"/>
    <n v="-1.2343295984950403E-2"/>
    <n v="3.599641415681E-2"/>
    <n v="3.4843059612179192E-2"/>
    <n v="0.10678012298106561"/>
  </r>
  <r>
    <x v="10"/>
    <x v="10"/>
    <n v="6.0827200000000001"/>
    <n v="541.22"/>
    <n v="74.678600000000003"/>
    <n v="-0.16334940892701072"/>
    <n v="2.0539213842069214E-2"/>
    <n v="-0.2224411872759462"/>
    <n v="5.4366176513962181E-2"/>
  </r>
  <r>
    <x v="11"/>
    <x v="11"/>
    <n v="5.7850299999999999"/>
    <n v="562"/>
    <n v="71.063599999999994"/>
    <n v="-1.9690805591470437E-2"/>
    <n v="-5.0178417902107322E-2"/>
    <n v="3.7675999364870406E-2"/>
    <n v="-4.9618321122892294E-2"/>
  </r>
  <r>
    <x v="12"/>
    <x v="12"/>
    <n v="5.8134800000000002"/>
    <n v="498.2"/>
    <n v="69.123199999999997"/>
    <n v="4.1548152795024766E-2"/>
    <n v="4.9058123946631978E-3"/>
    <n v="-0.12050024706561104"/>
    <n v="-2.7684831002069425E-2"/>
  </r>
  <r>
    <x v="13"/>
    <x v="13"/>
    <n v="5.5674000000000001"/>
    <n v="494.3"/>
    <n v="68.524199999999993"/>
    <n v="-3.9118090326660648E-3"/>
    <n v="-4.3251200247215536E-2"/>
    <n v="-7.85898251516641E-3"/>
    <n v="-8.7034521710792987E-3"/>
  </r>
  <r>
    <x v="14"/>
    <x v="14"/>
    <n v="5.3557699999999997"/>
    <n v="563.79999999999995"/>
    <n v="68.464699999999993"/>
    <n v="0.11098868476627295"/>
    <n v="-3.8753674192579718E-2"/>
    <n v="0.13155695836709852"/>
    <n v="-8.6868357570010594E-4"/>
  </r>
  <r>
    <x v="15"/>
    <x v="15"/>
    <n v="5.5819200000000002"/>
    <n v="627.5"/>
    <n v="69.920900000000003"/>
    <n v="-9.7598816011223062E-3"/>
    <n v="4.1358318818233923E-2"/>
    <n v="0.10704409232592689"/>
    <n v="2.1046319144308864E-2"/>
  </r>
  <r>
    <x v="16"/>
    <x v="16"/>
    <n v="5.70885"/>
    <n v="546.91999999999996"/>
    <n v="73.595500000000001"/>
    <n v="5.3205486718286989E-2"/>
    <n v="2.2484799102509896E-2"/>
    <n v="-0.13744113156505813"/>
    <n v="5.1219279443291604E-2"/>
  </r>
  <r>
    <x v="17"/>
    <x v="17"/>
    <n v="5.2332400000000003"/>
    <n v="600.07000000000005"/>
    <n v="73.662499999999994"/>
    <n v="2.0609436703758737E-2"/>
    <n v="-8.6987013201002092E-2"/>
    <n v="9.2743775636906056E-2"/>
    <n v="9.0996760275466738E-4"/>
  </r>
  <r>
    <x v="18"/>
    <x v="18"/>
    <n v="5.1591100000000001"/>
    <n v="709.55"/>
    <n v="75.723699999999994"/>
    <n v="0.2390630961443064"/>
    <n v="-1.426650513538999E-2"/>
    <n v="0.16758465120275967"/>
    <n v="2.7597339219933771E-2"/>
  </r>
  <r>
    <x v="19"/>
    <x v="19"/>
    <n v="5.1377800000000002"/>
    <n v="673.18"/>
    <n v="76.266300000000001"/>
    <n v="0.19992584421174442"/>
    <n v="-4.14300444306281E-3"/>
    <n v="-5.261821325845055E-2"/>
    <n v="7.1399737497029958E-3"/>
  </r>
  <r>
    <x v="20"/>
    <x v="20"/>
    <n v="4.9566400000000002"/>
    <n v="722.5"/>
    <n v="74.898200000000003"/>
    <n v="-6.4126075849295819E-2"/>
    <n v="-3.5892987723929043E-2"/>
    <n v="7.0704666964491431E-2"/>
    <n v="-1.8101304941992431E-2"/>
  </r>
  <r>
    <x v="21"/>
    <x v="21"/>
    <n v="4.8035699999999997"/>
    <n v="620.88"/>
    <n v="75.625799999999998"/>
    <n v="5.0093621963394526E-4"/>
    <n v="-3.1368700360955647E-2"/>
    <n v="-0.15157959344070387"/>
    <n v="9.6676366157741681E-3"/>
  </r>
  <r>
    <x v="22"/>
    <x v="22"/>
    <n v="5.2608800000000002"/>
    <n v="769.92"/>
    <n v="83.366"/>
    <n v="0.17927551202326109"/>
    <n v="9.0938921667822706E-2"/>
    <n v="0.215148786800376"/>
    <n v="9.744305757475942E-2"/>
  </r>
  <r>
    <x v="23"/>
    <x v="23"/>
    <n v="5.1577599999999997"/>
    <n v="679.44"/>
    <n v="84.012299999999996"/>
    <n v="8.9919914934821585E-2"/>
    <n v="-1.9795936422744038E-2"/>
    <n v="-0.1250176838745054"/>
    <n v="7.7226643129157746E-3"/>
  </r>
  <r>
    <x v="24"/>
    <x v="24"/>
    <n v="5.03538"/>
    <n v="754.13"/>
    <n v="82.049800000000005"/>
    <n v="0.11649325809582871"/>
    <n v="-2.4013381693161213E-2"/>
    <n v="0.10429583746775575"/>
    <n v="-2.363683670008266E-2"/>
  </r>
  <r>
    <x v="25"/>
    <x v="25"/>
    <n v="5.0399799999999999"/>
    <n v="771.8"/>
    <n v="86.665800000000004"/>
    <n v="0.18333622635219907"/>
    <n v="9.1311880064193229E-4"/>
    <n v="2.3160682164008597E-2"/>
    <n v="5.4732962302375045E-2"/>
  </r>
  <r>
    <x v="26"/>
    <x v="26"/>
    <n v="4.9684900000000001"/>
    <n v="797.04"/>
    <n v="85.099400000000003"/>
    <n v="5.1853007034498341E-2"/>
    <n v="-1.4286142814063181E-2"/>
    <n v="3.2179416633082512E-2"/>
    <n v="-1.8239357271733994E-2"/>
  </r>
  <r>
    <x v="27"/>
    <x v="27"/>
    <n v="5.0245499999999996"/>
    <n v="828.46"/>
    <n v="83.923100000000005"/>
    <n v="-9.0354293734645708E-2"/>
    <n v="1.1219926688919864E-2"/>
    <n v="3.8663689940359076E-2"/>
    <n v="-1.3919081677102112E-2"/>
  </r>
  <r>
    <x v="28"/>
    <x v="28"/>
    <n v="4.7887700000000004"/>
    <n v="819.82"/>
    <n v="81.358699999999999"/>
    <n v="0.16665304420717011"/>
    <n v="-4.8062304217058191E-2"/>
    <n v="-1.0483751710111077E-2"/>
    <n v="-3.1033130103680848E-2"/>
  </r>
  <r>
    <x v="29"/>
    <x v="29"/>
    <n v="4.8261200000000004"/>
    <n v="844.19"/>
    <n v="81.933800000000005"/>
    <n v="8.6237493179448219E-2"/>
    <n v="7.769238727357736E-3"/>
    <n v="2.9292783777157341E-2"/>
    <n v="7.0438308902546383E-3"/>
  </r>
  <r>
    <x v="30"/>
    <x v="30"/>
    <n v="4.7476500000000001"/>
    <n v="886.98"/>
    <n v="80.953199999999995"/>
    <n v="5.3456077938153291E-3"/>
    <n v="-1.6393073424798347E-2"/>
    <n v="4.9444846397047632E-2"/>
    <n v="-1.204039421839509E-2"/>
  </r>
  <r>
    <x v="31"/>
    <x v="31"/>
    <n v="4.6063599999999996"/>
    <n v="938.44"/>
    <n v="80.346400000000003"/>
    <n v="-3.6511624280726941E-2"/>
    <n v="-3.0211801514405931E-2"/>
    <n v="5.6396488035711526E-2"/>
    <n v="-7.5239227195431383E-3"/>
  </r>
  <r>
    <x v="32"/>
    <x v="32"/>
    <n v="4.8897399999999998"/>
    <n v="938.06"/>
    <n v="83.877099999999999"/>
    <n v="0.33212961911207906"/>
    <n v="5.9701175071681246E-2"/>
    <n v="-4.050093314089424E-4"/>
    <n v="4.3005345039026033E-2"/>
  </r>
  <r>
    <x v="33"/>
    <x v="33"/>
    <n v="4.8343999999999996"/>
    <n v="980.55"/>
    <n v="85.907399999999996"/>
    <n v="3.6663764699976231E-2"/>
    <n v="-1.1382106273857277E-2"/>
    <n v="4.4299725881492079E-2"/>
    <n v="2.3917339725742785E-2"/>
  </r>
  <r>
    <x v="34"/>
    <x v="34"/>
    <n v="4.7766799999999998"/>
    <n v="1009.91"/>
    <n v="85.575699999999998"/>
    <n v="-0.17233401077764751"/>
    <n v="-1.201128155031185E-2"/>
    <n v="2.9502858227130935E-2"/>
    <n v="-3.8686076200924058E-3"/>
  </r>
  <r>
    <x v="35"/>
    <x v="35"/>
    <n v="4.6986699999999999"/>
    <n v="1063"/>
    <n v="85.497299999999996"/>
    <n v="-4.5396674958582829E-2"/>
    <n v="-1.6466254568325116E-2"/>
    <n v="5.1233881387968722E-2"/>
    <n v="-9.1656784517290949E-4"/>
  </r>
  <r>
    <x v="36"/>
    <x v="36"/>
    <n v="4.7496999999999998"/>
    <n v="1031.0999999999999"/>
    <n v="86.793400000000005"/>
    <n v="0.17892282609462748"/>
    <n v="1.0801968210694336E-2"/>
    <n v="-3.0468905818050118E-2"/>
    <n v="1.5045785412275468E-2"/>
  </r>
  <r>
    <x v="37"/>
    <x v="37"/>
    <n v="4.7113899999999997"/>
    <n v="1043.6199999999999"/>
    <n v="86.919899999999998"/>
    <n v="-8.0786731715441401E-2"/>
    <n v="-8.0984768945080755E-3"/>
    <n v="1.2069244985856421E-2"/>
    <n v="1.456422995368057E-3"/>
  </r>
  <r>
    <x v="38"/>
    <x v="38"/>
    <n v="4.79908"/>
    <n v="949.85"/>
    <n v="82.380600000000001"/>
    <n v="2.2176910598222903E-2"/>
    <n v="1.8441251614014553E-2"/>
    <n v="-9.4146640118696071E-2"/>
    <n v="-5.3637032601758221E-2"/>
  </r>
  <r>
    <x v="39"/>
    <x v="39"/>
    <n v="4.8317699999999997"/>
    <n v="967.35"/>
    <n v="86.073300000000003"/>
    <n v="0.13163418098007201"/>
    <n v="6.7886272851052859E-3"/>
    <n v="1.8256296733437847E-2"/>
    <n v="4.3849286509110144E-2"/>
  </r>
  <r>
    <x v="40"/>
    <x v="40"/>
    <n v="4.9067600000000002"/>
    <n v="989.72"/>
    <n v="92.997799999999998"/>
    <n v="0.1651587116734505"/>
    <n v="1.5400986028959094E-2"/>
    <n v="2.2861700717849508E-2"/>
    <n v="7.7376578147755809E-2"/>
  </r>
  <r>
    <x v="41"/>
    <x v="41"/>
    <n v="4.9441499999999996"/>
    <n v="952.08"/>
    <n v="95.252600000000001"/>
    <n v="9.4547603838473923E-2"/>
    <n v="7.5912133101323333E-3"/>
    <n v="-3.8773009968161187E-2"/>
    <n v="2.3956473262719883E-2"/>
  </r>
  <r>
    <x v="42"/>
    <x v="42"/>
    <n v="4.7996600000000003"/>
    <n v="934.55"/>
    <n v="95.147999999999996"/>
    <n v="0.19940722153089299"/>
    <n v="-2.965997742925932E-2"/>
    <n v="-1.8583934861997605E-2"/>
    <n v="-1.0987361439296522E-3"/>
  </r>
  <r>
    <x v="43"/>
    <x v="43"/>
    <n v="4.8049799999999996"/>
    <n v="983.82"/>
    <n v="100.43899999999999"/>
    <n v="4.2124926300671148E-2"/>
    <n v="1.1077980109748945E-3"/>
    <n v="5.1377823477645398E-2"/>
    <n v="5.4117003968807066E-2"/>
  </r>
  <r>
    <x v="44"/>
    <x v="44"/>
    <n v="4.8055099999999999"/>
    <n v="1076.21"/>
    <n v="100.276"/>
    <n v="-9.5168144437279625E-2"/>
    <n v="1.1029614526157564E-4"/>
    <n v="8.9757935475485939E-2"/>
    <n v="-1.6241938652607109E-3"/>
  </r>
  <r>
    <x v="45"/>
    <x v="45"/>
    <n v="4.9008000000000003"/>
    <n v="1081.43"/>
    <n v="96.977800000000002"/>
    <n v="-0.16819093287428108"/>
    <n v="1.9635280868424393E-2"/>
    <n v="4.8386294139538188E-3"/>
    <n v="-3.3444297851621847E-2"/>
  </r>
  <r>
    <x v="46"/>
    <x v="46"/>
    <n v="4.8323499999999999"/>
    <n v="1181.27"/>
    <n v="97.179900000000004"/>
    <n v="-0.10730044573351323"/>
    <n v="-1.4065565312224771E-2"/>
    <n v="8.8305891502280562E-2"/>
    <n v="2.0818136287244844E-3"/>
  </r>
  <r>
    <x v="47"/>
    <x v="47"/>
    <n v="4.7713799999999997"/>
    <n v="1261.79"/>
    <n v="87.7089"/>
    <n v="2.3641168620757873E-2"/>
    <n v="-1.2697320549339147E-2"/>
    <n v="6.5941216837510447E-2"/>
    <n v="-0.10254052340364476"/>
  </r>
  <r>
    <x v="48"/>
    <x v="48"/>
    <n v="4.88117"/>
    <n v="1343.8"/>
    <n v="94.397400000000005"/>
    <n v="0.26616005942890414"/>
    <n v="2.274937399218567E-2"/>
    <n v="6.2970073766986809E-2"/>
    <n v="7.3490153844009462E-2"/>
  </r>
  <r>
    <x v="49"/>
    <x v="49"/>
    <n v="5.0198900000000002"/>
    <n v="1546.91"/>
    <n v="98.876400000000004"/>
    <n v="4.8150948552154818E-4"/>
    <n v="2.802307588596565E-2"/>
    <n v="0.14075797127766182"/>
    <n v="4.6357054880335945E-2"/>
  </r>
  <r>
    <x v="50"/>
    <x v="50"/>
    <n v="5.00176"/>
    <n v="1381.38"/>
    <n v="101.474"/>
    <n v="5.0833065799232198E-2"/>
    <n v="-3.6181706163266303E-3"/>
    <n v="-0.11317639327937747"/>
    <n v="2.5932022752791661E-2"/>
  </r>
  <r>
    <x v="51"/>
    <x v="51"/>
    <n v="4.9825900000000001"/>
    <n v="1389.68"/>
    <n v="105.08"/>
    <n v="7.18439599301363E-2"/>
    <n v="-3.8400143336854392E-3"/>
    <n v="5.9905053093339353E-3"/>
    <n v="3.4919356784935879E-2"/>
  </r>
  <r>
    <x v="52"/>
    <x v="52"/>
    <n v="4.8453999999999997"/>
    <n v="1325.65"/>
    <n v="99.872500000000002"/>
    <n v="-2.8847743737741231E-2"/>
    <n v="-2.7920034888529094E-2"/>
    <n v="-4.7170599623790214E-2"/>
    <n v="-5.0827592333299636E-2"/>
  </r>
  <r>
    <x v="53"/>
    <x v="53"/>
    <n v="4.7412000000000001"/>
    <n v="1541.02"/>
    <n v="103.075"/>
    <n v="3.5465561909510328E-2"/>
    <n v="-2.1739533051211766E-2"/>
    <n v="0.15054162965135112"/>
    <n v="3.1562506108924263E-2"/>
  </r>
  <r>
    <x v="54"/>
    <x v="54"/>
    <n v="4.7094199999999997"/>
    <n v="1519.73"/>
    <n v="109.42100000000001"/>
    <n v="6.6046500364464203E-2"/>
    <n v="-6.725510028042273E-3"/>
    <n v="-1.3911847338211495E-2"/>
    <n v="5.9745949098012008E-2"/>
  </r>
  <r>
    <x v="55"/>
    <x v="55"/>
    <n v="4.8428199999999997"/>
    <n v="1530.1"/>
    <n v="110.419"/>
    <n v="9.5328178375741063E-2"/>
    <n v="2.793243748999431E-2"/>
    <n v="6.8004052447504532E-3"/>
    <n v="9.0793927935388617E-3"/>
  </r>
  <r>
    <x v="56"/>
    <x v="56"/>
    <n v="4.9297599999999999"/>
    <n v="1676.48"/>
    <n v="112.834"/>
    <n v="-3.8673041797298427E-2"/>
    <n v="1.7793109642871546E-2"/>
    <n v="9.1363264492087287E-2"/>
    <n v="2.1635491601748377E-2"/>
  </r>
  <r>
    <x v="57"/>
    <x v="57"/>
    <n v="4.9434100000000001"/>
    <n v="1796.2"/>
    <n v="109.7"/>
    <n v="3.5092069935171881E-2"/>
    <n v="2.7650711366034989E-3"/>
    <n v="6.8976965016994463E-2"/>
    <n v="-2.8168344805078609E-2"/>
  </r>
  <r>
    <x v="58"/>
    <x v="58"/>
    <n v="5.0653800000000002"/>
    <n v="1841.67"/>
    <n v="116.976"/>
    <n v="4.0426715278562085E-2"/>
    <n v="2.4373783100971585E-2"/>
    <n v="2.4999446434107772E-2"/>
    <n v="6.4219418269775494E-2"/>
  </r>
  <r>
    <x v="59"/>
    <x v="59"/>
    <n v="5.03043"/>
    <n v="1945.8"/>
    <n v="116.42100000000001"/>
    <n v="6.2736105433411557E-2"/>
    <n v="-6.9236920302363754E-3"/>
    <n v="5.5000434870370159E-2"/>
    <n v="-4.755854154843326E-3"/>
  </r>
  <r>
    <x v="60"/>
    <x v="60"/>
    <n v="5.1159499999999998"/>
    <n v="2288.9499999999998"/>
    <n v="119.88"/>
    <n v="7.5192297560588584E-3"/>
    <n v="1.6857642873107322E-2"/>
    <n v="0.16241999357283912"/>
    <n v="2.9278311052345515E-2"/>
  </r>
  <r>
    <x v="61"/>
    <x v="61"/>
    <n v="5.0285599999999997"/>
    <n v="2591.54"/>
    <n v="108.721"/>
    <n v="-1.1094796754586642E-2"/>
    <n v="-1.7229449589595311E-2"/>
    <n v="0.12415909647268585"/>
    <n v="-9.77062747082134E-2"/>
  </r>
  <r>
    <x v="62"/>
    <x v="62"/>
    <n v="5.13727"/>
    <n v="2357.8000000000002"/>
    <n v="103.536"/>
    <n v="3.7378601359711418E-2"/>
    <n v="2.1388149144867561E-2"/>
    <n v="-9.4523312728825221E-2"/>
    <n v="-4.8865589425338765E-2"/>
  </r>
  <r>
    <x v="63"/>
    <x v="63"/>
    <n v="5.2273300000000003"/>
    <n v="1975.5"/>
    <n v="115.959"/>
    <n v="0.21263282903886083"/>
    <n v="1.7378821502901008E-2"/>
    <n v="-0.17690745000658176"/>
    <n v="0.11331730203802831"/>
  </r>
  <r>
    <x v="64"/>
    <x v="64"/>
    <n v="4.9492200000000004"/>
    <n v="1938"/>
    <n v="115.404"/>
    <n v="0.12148708783968391"/>
    <n v="-5.4670643059991975E-2"/>
    <n v="-1.91650174007339E-2"/>
    <n v="-4.7976648345935515E-3"/>
  </r>
  <r>
    <x v="65"/>
    <x v="65"/>
    <n v="4.9086999999999996"/>
    <n v="1941.92"/>
    <n v="116.544"/>
    <n v="-2.2284106566422671E-2"/>
    <n v="-8.2208474409922964E-3"/>
    <n v="2.0206609073399112E-3"/>
    <n v="9.8298685867977444E-3"/>
  </r>
  <r>
    <x v="66"/>
    <x v="66"/>
    <n v="4.9026899999999998"/>
    <n v="2092.04"/>
    <n v="116.411"/>
    <n v="1.7815729928710146E-2"/>
    <n v="-1.2251068914178017E-3"/>
    <n v="7.4462492102859532E-2"/>
    <n v="-1.141851554598342E-3"/>
  </r>
  <r>
    <x v="67"/>
    <x v="67"/>
    <n v="4.9231999999999996"/>
    <n v="2248.06"/>
    <n v="124.06"/>
    <n v="8.6914121280033826E-2"/>
    <n v="4.1746915113911442E-3"/>
    <n v="7.1927955587947748E-2"/>
    <n v="6.3638286994426946E-2"/>
  </r>
  <r>
    <x v="68"/>
    <x v="68"/>
    <n v="4.9912099999999997"/>
    <n v="2310.7800000000002"/>
    <n v="125.68899999999999"/>
    <n v="-4.6906152331734639E-2"/>
    <n v="1.3719639752998326E-2"/>
    <n v="2.7517507809545552E-2"/>
    <n v="1.3045282277699709E-2"/>
  </r>
  <r>
    <x v="69"/>
    <x v="69"/>
    <n v="5.1218500000000002"/>
    <n v="2216.89"/>
    <n v="124.23399999999999"/>
    <n v="-0.22112267370998795"/>
    <n v="2.5837336574491433E-2"/>
    <n v="-4.147981707204465E-2"/>
    <n v="-1.1643717773655795E-2"/>
  </r>
  <r>
    <x v="70"/>
    <x v="70"/>
    <n v="5.00387"/>
    <n v="2382.36"/>
    <n v="130.886"/>
    <n v="0.14952524375343185"/>
    <n v="-2.3304088862557658E-2"/>
    <n v="7.1986280210628237E-2"/>
    <n v="5.21598312754218E-2"/>
  </r>
  <r>
    <x v="71"/>
    <x v="71"/>
    <n v="5.1059599999999996"/>
    <n v="2451.5"/>
    <n v="135.488"/>
    <n v="-0.34917031266514575"/>
    <n v="2.0196871817156861E-2"/>
    <n v="2.8608489094300003E-2"/>
    <n v="3.4556360187962765E-2"/>
  </r>
  <r>
    <x v="72"/>
    <x v="72"/>
    <n v="5.1026800000000003"/>
    <n v="2230.48"/>
    <n v="135.82300000000001"/>
    <n v="0.10527030272053597"/>
    <n v="-6.4259296299329068E-4"/>
    <n v="-9.4483273162585799E-2"/>
    <n v="2.4694919870314048E-3"/>
  </r>
  <r>
    <x v="73"/>
    <x v="73"/>
    <n v="5.2193399999999999"/>
    <n v="2323.4499999999998"/>
    <n v="138.488"/>
    <n v="-0.25456255299035446"/>
    <n v="2.2605065214398389E-2"/>
    <n v="4.08363411050508E-2"/>
    <n v="1.943111177499706E-2"/>
  </r>
  <r>
    <x v="74"/>
    <x v="74"/>
    <n v="5.4439799999999998"/>
    <n v="2627.14"/>
    <n v="152.84800000000001"/>
    <n v="-0.21671464066439294"/>
    <n v="4.2139453894049557E-2"/>
    <n v="0.12284265196112901"/>
    <n v="9.8660284253224276E-2"/>
  </r>
  <r>
    <x v="75"/>
    <x v="75"/>
    <n v="5.2374299999999998"/>
    <n v="2937.3"/>
    <n v="153.68299999999999"/>
    <n v="-8.9962951482381578E-2"/>
    <n v="-3.8679491009373665E-2"/>
    <n v="0.11159499003325363"/>
    <n v="5.4480758248839772E-3"/>
  </r>
  <r>
    <x v="76"/>
    <x v="76"/>
    <n v="5.2049899999999996"/>
    <n v="2831.5"/>
    <n v="150.17500000000001"/>
    <n v="-2.9542118974314087E-3"/>
    <n v="-6.2131391683106904E-3"/>
    <n v="-3.668418547427571E-2"/>
    <n v="-2.3090758616311494E-2"/>
  </r>
  <r>
    <x v="77"/>
    <x v="77"/>
    <n v="5.2709400000000004"/>
    <n v="2783.85"/>
    <n v="159.61699999999999"/>
    <n v="9.2099672364224602E-2"/>
    <n v="1.2590933933511425E-2"/>
    <n v="-1.6971744861436426E-2"/>
    <n v="6.0975914897752719E-2"/>
  </r>
  <r>
    <x v="78"/>
    <x v="78"/>
    <n v="5.3547500000000001"/>
    <n v="2662.56"/>
    <n v="165.17599999999999"/>
    <n v="-1.5144010154500352E-3"/>
    <n v="1.5775302700103553E-2"/>
    <n v="-4.4546795717389107E-2"/>
    <n v="3.4234376448600216E-2"/>
  </r>
  <r>
    <x v="79"/>
    <x v="79"/>
    <n v="5.27027"/>
    <n v="2468.0700000000002"/>
    <n v="169.67400000000001"/>
    <n v="-8.715068341104526E-2"/>
    <n v="-1.5902422831644968E-2"/>
    <n v="-7.5851597304977508E-2"/>
    <n v="2.6867376869720232E-2"/>
  </r>
  <r>
    <x v="80"/>
    <x v="80"/>
    <n v="5.3630699999999996"/>
    <n v="1912.35"/>
    <n v="168.89699999999999"/>
    <n v="0.12465593345023077"/>
    <n v="1.7454977674183494E-2"/>
    <n v="-0.25510361641781554"/>
    <n v="-4.5898872856329851E-3"/>
  </r>
  <r>
    <x v="81"/>
    <x v="81"/>
    <n v="5.4613300000000002"/>
    <n v="1995.63"/>
    <n v="178.52199999999999"/>
    <n v="-9.8087039031950485E-2"/>
    <n v="1.8155777525585646E-2"/>
    <n v="4.2626937694406064E-2"/>
    <n v="5.542278125817713E-2"/>
  </r>
  <r>
    <x v="82"/>
    <x v="82"/>
    <n v="5.4654100000000003"/>
    <n v="1738.89"/>
    <n v="187.32300000000001"/>
    <n v="5.9288279219809968E-2"/>
    <n v="7.4679185001515149E-4"/>
    <n v="-0.13771281133713531"/>
    <n v="4.8122556637013376E-2"/>
  </r>
  <r>
    <x v="83"/>
    <x v="83"/>
    <n v="5.4556899999999997"/>
    <n v="1906.69"/>
    <n v="190.92699999999999"/>
    <n v="4.4524773091779185E-2"/>
    <n v="-1.7800409421253318E-3"/>
    <n v="9.2121775783579316E-2"/>
    <n v="1.905675647525909E-2"/>
  </r>
  <r>
    <x v="84"/>
    <x v="84"/>
    <n v="5.4829299999999996"/>
    <n v="2353.06"/>
    <n v="179.71"/>
    <n v="-6.8887298067877287E-2"/>
    <n v="4.9805288617472488E-3"/>
    <n v="0.21034785437168435"/>
    <n v="-6.0546715493184244E-2"/>
  </r>
  <r>
    <x v="85"/>
    <x v="85"/>
    <n v="5.6246"/>
    <n v="2495.56"/>
    <n v="178.75200000000001"/>
    <n v="-6.6950432357558834E-2"/>
    <n v="2.5510204843981921E-2"/>
    <n v="5.8796544133753875E-2"/>
    <n v="-5.3450702212191484E-3"/>
  </r>
  <r>
    <x v="86"/>
    <x v="86"/>
    <n v="5.5174000000000003"/>
    <n v="2263.35"/>
    <n v="188.81700000000001"/>
    <n v="3.1219253297572469E-2"/>
    <n v="-1.9243099616778149E-2"/>
    <n v="-9.7667136270759139E-2"/>
    <n v="5.4778921707999036E-2"/>
  </r>
  <r>
    <x v="87"/>
    <x v="87"/>
    <n v="5.5723900000000004"/>
    <n v="2319.0500000000002"/>
    <n v="184.94499999999999"/>
    <n v="-0.36193543640361053"/>
    <n v="9.9173114553456655E-3"/>
    <n v="2.4311602413006238E-2"/>
    <n v="-2.0719808451285494E-2"/>
  </r>
  <r>
    <x v="88"/>
    <x v="88"/>
    <n v="5.3820899999999998"/>
    <n v="2002"/>
    <n v="174.477"/>
    <n v="-0.10738472451595185"/>
    <n v="-3.4747271716502347E-2"/>
    <n v="-0.14701093816561045"/>
    <n v="-5.8265555781599476E-2"/>
  </r>
  <r>
    <x v="89"/>
    <x v="89"/>
    <n v="5.4609300000000003"/>
    <n v="1938.22"/>
    <n v="166.42400000000001"/>
    <n v="-0.12722664243776441"/>
    <n v="1.4542330349769152E-2"/>
    <n v="-3.2376654775411594E-2"/>
    <n v="-4.7254179041743984E-2"/>
  </r>
  <r>
    <x v="90"/>
    <x v="90"/>
    <n v="5.6474299999999999"/>
    <n v="2135.14"/>
    <n v="188.583"/>
    <n v="-4.1979076207812549E-2"/>
    <n v="3.3581469495527587E-2"/>
    <n v="9.6762192183596621E-2"/>
    <n v="0.12499947952271433"/>
  </r>
  <r>
    <x v="91"/>
    <x v="91"/>
    <n v="5.4612400000000001"/>
    <n v="2086.5"/>
    <n v="185.7"/>
    <n v="-7.6525823498009099E-2"/>
    <n v="-3.3524704219015239E-2"/>
    <n v="-2.304419725174366E-2"/>
    <n v="-1.5405759920135886E-2"/>
  </r>
  <r>
    <x v="92"/>
    <x v="92"/>
    <n v="5.5356199999999998"/>
    <n v="2176.9699999999998"/>
    <n v="179.87799999999999"/>
    <n v="0.17492533037898522"/>
    <n v="1.3527704141722991E-2"/>
    <n v="4.2445980676202179E-2"/>
    <n v="-3.1853625041424832E-2"/>
  </r>
  <r>
    <x v="93"/>
    <x v="93"/>
    <n v="5.4738899999999999"/>
    <n v="1849.1"/>
    <n v="184.19200000000001"/>
    <n v="0.23780054233769107"/>
    <n v="-1.1214058918866916E-2"/>
    <n v="-0.16323496749486907"/>
    <n v="2.3699848507612826E-2"/>
  </r>
  <r>
    <x v="94"/>
    <x v="94"/>
    <n v="5.4113199999999999"/>
    <n v="1887.27"/>
    <n v="178.892"/>
    <n v="3.0076208298179335E-2"/>
    <n v="-1.1496459718740842E-2"/>
    <n v="2.0432306180764571E-2"/>
    <n v="-2.9196420029437831E-2"/>
  </r>
  <r>
    <x v="95"/>
    <x v="95"/>
    <n v="5.29535"/>
    <n v="1790.42"/>
    <n v="168.351"/>
    <n v="-1.0281439887845467E-2"/>
    <n v="-2.166397874003621E-2"/>
    <n v="-5.2681111210321485E-2"/>
    <n v="-6.0731186200028424E-2"/>
  </r>
  <r>
    <x v="96"/>
    <x v="96"/>
    <n v="5.3398000000000003"/>
    <n v="1652.52"/>
    <n v="176.05799999999999"/>
    <n v="7.201137452038521E-2"/>
    <n v="8.3591221239114177E-3"/>
    <n v="-8.0148833656348673E-2"/>
    <n v="4.4762400609138824E-2"/>
  </r>
  <r>
    <x v="97"/>
    <x v="97"/>
    <n v="5.3513099999999998"/>
    <n v="1426.15"/>
    <n v="177.89699999999999"/>
    <n v="-5.0952726058459998E-2"/>
    <n v="2.1531916605329066E-3"/>
    <n v="-0.14732288974399077"/>
    <n v="1.0391244918672037E-2"/>
  </r>
  <r>
    <x v="98"/>
    <x v="98"/>
    <n v="5.3225899999999999"/>
    <n v="1470.52"/>
    <n v="177.036"/>
    <n v="-0.17432297344703221"/>
    <n v="-5.3813637580805507E-3"/>
    <n v="3.0637573934564438E-2"/>
    <n v="-4.8516293997623392E-3"/>
  </r>
  <r>
    <x v="99"/>
    <x v="99"/>
    <n v="5.2306999999999997"/>
    <n v="1505"/>
    <n v="173.358"/>
    <n v="1.8542159138541812E-2"/>
    <n v="-1.7414914656782379E-2"/>
    <n v="2.3176818465367607E-2"/>
    <n v="-2.0994281248538235E-2"/>
  </r>
  <r>
    <x v="100"/>
    <x v="100"/>
    <n v="5.2747599999999997"/>
    <n v="1369.62"/>
    <n v="177.52500000000001"/>
    <n v="6.7402964956502831E-2"/>
    <n v="8.3880683638848739E-3"/>
    <n v="-9.4259569098380055E-2"/>
    <n v="2.3752623593265302E-2"/>
  </r>
  <r>
    <x v="101"/>
    <x v="101"/>
    <n v="5.16249"/>
    <n v="1232.77"/>
    <n v="183.49100000000001"/>
    <n v="0.25277417082653292"/>
    <n v="-2.1514159457479549E-2"/>
    <n v="-0.1052696592222888"/>
    <n v="3.3054175902131722E-2"/>
  </r>
  <r>
    <x v="102"/>
    <x v="102"/>
    <n v="5.1404699999999997"/>
    <n v="1286.07"/>
    <n v="185.54499999999999"/>
    <n v="5.3438903073130102E-2"/>
    <n v="-4.2745062638340926E-3"/>
    <n v="4.2327386802238048E-2"/>
    <n v="1.1131820258664717E-2"/>
  </r>
  <r>
    <x v="103"/>
    <x v="103"/>
    <n v="5.2253499999999997"/>
    <n v="1229.82"/>
    <n v="187.541"/>
    <n v="-0.10173627875143899"/>
    <n v="1.6377266277933299E-2"/>
    <n v="-4.4723239470453383E-2"/>
    <n v="1.0700047944107624E-2"/>
  </r>
  <r>
    <x v="104"/>
    <x v="104"/>
    <n v="5.3285400000000003"/>
    <n v="1248.5999999999999"/>
    <n v="191.90299999999999"/>
    <n v="-0.16424946294592099"/>
    <n v="1.9555498200368827E-2"/>
    <n v="1.5155106433551956E-2"/>
    <n v="2.2992547860658231E-2"/>
  </r>
  <r>
    <x v="105"/>
    <x v="105"/>
    <n v="5.1195199999999996"/>
    <n v="1127.3499999999999"/>
    <n v="178.50299999999999"/>
    <n v="-0.17595153943173719"/>
    <n v="-4.0016594797127762E-2"/>
    <n v="-0.10215317779512259"/>
    <n v="-7.2384628232568138E-2"/>
  </r>
  <r>
    <x v="106"/>
    <x v="106"/>
    <n v="5.0466100000000003"/>
    <n v="1009.05"/>
    <n v="184.078"/>
    <n v="3.6007898905160207E-2"/>
    <n v="-1.4343953912143435E-2"/>
    <n v="-0.11086045169279661"/>
    <n v="3.0754173025562943E-2"/>
  </r>
  <r>
    <x v="107"/>
    <x v="107"/>
    <n v="5.0152799999999997"/>
    <n v="1105.05"/>
    <n v="190.82900000000001"/>
    <n v="5.4967228220330837E-2"/>
    <n v="-6.2274783866518068E-3"/>
    <n v="9.0881288657207751E-2"/>
    <n v="3.6018158252172416E-2"/>
  </r>
  <r>
    <x v="108"/>
    <x v="108"/>
    <n v="5.0786300000000004"/>
    <n v="981.55"/>
    <n v="200.613"/>
    <n v="-9.3356115058505454E-2"/>
    <n v="1.2552287821655838E-2"/>
    <n v="-0.11851290694288989"/>
    <n v="4.9999939932407471E-2"/>
  </r>
  <r>
    <x v="109"/>
    <x v="109"/>
    <n v="5.0415700000000001"/>
    <n v="946.82500000000005"/>
    <n v="207.08600000000001"/>
    <n v="4.6169443340685387E-2"/>
    <n v="-7.3239986682093836E-3"/>
    <n v="-3.6018672831084217E-2"/>
    <n v="3.1756486912104719E-2"/>
  </r>
  <r>
    <x v="110"/>
    <x v="110"/>
    <n v="5.0338799999999999"/>
    <n v="1018.4"/>
    <n v="214.69499999999999"/>
    <n v="6.3569832298180529E-2"/>
    <n v="-1.5264829845292992E-3"/>
    <n v="7.2873765220238612E-2"/>
    <n v="3.6084250380890484E-2"/>
  </r>
  <r>
    <x v="111"/>
    <x v="111"/>
    <n v="5.0762"/>
    <n v="956"/>
    <n v="210.495"/>
    <n v="1.3597003968086859E-2"/>
    <n v="8.3718916524369424E-3"/>
    <n v="-6.3230134191795476E-2"/>
    <n v="-1.9756516433080878E-2"/>
  </r>
  <r>
    <x v="112"/>
    <x v="112"/>
    <n v="5.0201700000000002"/>
    <n v="918.20399999999995"/>
    <n v="210.74199999999999"/>
    <n v="9.4925423592281691E-2"/>
    <n v="-1.1099152507089101E-2"/>
    <n v="-4.0338324896389353E-2"/>
    <n v="1.1727366224167058E-3"/>
  </r>
  <r>
    <x v="113"/>
    <x v="113"/>
    <n v="5.0880400000000003"/>
    <n v="978.5"/>
    <n v="227.345"/>
    <n v="7.1536547714426774E-2"/>
    <n v="1.3428889970058842E-2"/>
    <n v="6.3601198681118992E-2"/>
    <n v="7.5834051013012632E-2"/>
  </r>
  <r>
    <x v="114"/>
    <x v="114"/>
    <n v="5.0939100000000002"/>
    <n v="929.17499999999995"/>
    <n v="225.17"/>
    <n v="0.13510387390036976"/>
    <n v="1.1530209145254738E-3"/>
    <n v="-5.1723691166218749E-2"/>
    <n v="-9.6130150350695123E-3"/>
  </r>
  <r>
    <x v="115"/>
    <x v="115"/>
    <n v="5.0876200000000003"/>
    <n v="967.8"/>
    <n v="221.86"/>
    <n v="0.14081519478321708"/>
    <n v="-1.2355708425376129E-3"/>
    <n v="4.0728358689305896E-2"/>
    <n v="-1.4809120161055064E-2"/>
  </r>
  <r>
    <x v="116"/>
    <x v="116"/>
    <n v="5.1427500000000004"/>
    <n v="1002.5"/>
    <n v="226.80099999999999"/>
    <n v="-5.0118086183376168E-2"/>
    <n v="1.0777818136320068E-2"/>
    <n v="3.5226704821506173E-2"/>
    <n v="2.202642870443889E-2"/>
  </r>
  <r>
    <x v="117"/>
    <x v="117"/>
    <n v="5.1587899999999998"/>
    <n v="1122.25"/>
    <n v="236.58500000000001"/>
    <n v="-8.0064319497798575E-2"/>
    <n v="3.1141000204787804E-3"/>
    <n v="0.11283871848131725"/>
    <n v="4.2234570379265715E-2"/>
  </r>
  <r>
    <x v="118"/>
    <x v="118"/>
    <n v="5.1730299999999998"/>
    <n v="984.75"/>
    <n v="253.48400000000001"/>
    <n v="3.9336691137764231E-2"/>
    <n v="2.756534476377713E-3"/>
    <n v="-0.1307030758110263"/>
    <n v="6.8993153274289093E-2"/>
  </r>
  <r>
    <x v="119"/>
    <x v="119"/>
    <n v="5.1674499999999997"/>
    <n v="913.25"/>
    <n v="254.7"/>
    <n v="0.13543617009753101"/>
    <n v="-1.0792536790606782E-3"/>
    <n v="-7.5378136175623361E-2"/>
    <n v="4.7856773169040953E-3"/>
  </r>
  <r>
    <x v="120"/>
    <x v="120"/>
    <n v="5.0429899999999996"/>
    <n v="1013.02"/>
    <n v="255"/>
    <n v="9.7706861299368397E-2"/>
    <n v="-2.4380176522278904E-2"/>
    <n v="0.10368158171501819"/>
    <n v="1.1771631730148311E-3"/>
  </r>
  <r>
    <x v="121"/>
    <x v="121"/>
    <n v="5.0873600000000003"/>
    <n v="925.25"/>
    <n v="242.25"/>
    <n v="4.8542454856627434E-2"/>
    <n v="8.7598718165928409E-3"/>
    <n v="-9.0627276124144798E-2"/>
    <n v="-5.1293294387550578E-2"/>
  </r>
  <r>
    <x v="122"/>
    <x v="122"/>
    <n v="4.9969799999999998"/>
    <n v="991.8"/>
    <n v="220"/>
    <n v="-4.5234156181072072E-2"/>
    <n v="-1.7925302009938741E-2"/>
    <n v="6.9457502788768166E-2"/>
    <n v="-9.63427044185141E-2"/>
  </r>
  <r>
    <x v="123"/>
    <x v="123"/>
    <n v="5.0323200000000003"/>
    <n v="944.77499999999998"/>
    <n v="213.65"/>
    <n v="9.4969370419676916E-2"/>
    <n v="7.0473804283420595E-3"/>
    <n v="-4.8574670148557153E-2"/>
    <n v="-2.9288384262327528E-2"/>
  </r>
  <r>
    <x v="124"/>
    <x v="124"/>
    <n v="5.0413600000000001"/>
    <n v="974.36800000000005"/>
    <n v="227.3"/>
    <n v="-4.8834335707993171E-2"/>
    <n v="1.7947765715515735E-3"/>
    <n v="3.0842251787392163E-2"/>
    <n v="6.1931568768463632E-2"/>
  </r>
  <r>
    <x v="125"/>
    <x v="125"/>
    <n v="4.94611"/>
    <n v="1104.42"/>
    <n v="230.75"/>
    <n v="0.2395025953242288"/>
    <n v="-1.9074477906499878E-2"/>
    <n v="0.12528653357881731"/>
    <n v="1.5064142524463878E-2"/>
  </r>
  <r>
    <x v="126"/>
    <x v="126"/>
    <n v="4.9458000000000002"/>
    <n v="1202.97"/>
    <n v="247.5"/>
    <n v="-0.11139323755761248"/>
    <n v="-6.2677480911393576E-5"/>
    <n v="8.547318873518428E-2"/>
    <n v="7.0075708625783384E-2"/>
  </r>
  <r>
    <x v="127"/>
    <x v="127"/>
    <n v="4.9250600000000002"/>
    <n v="1111.82"/>
    <n v="243.8"/>
    <n v="3.1796529173798056E-3"/>
    <n v="-4.2022742741398347E-3"/>
    <n v="-7.8795186803383432E-2"/>
    <n v="-1.5062364961573827E-2"/>
  </r>
  <r>
    <x v="128"/>
    <x v="128"/>
    <n v="4.88741"/>
    <n v="1260"/>
    <n v="250.85"/>
    <n v="7.0843010775112875E-2"/>
    <n v="-7.6739464712721811E-3"/>
    <n v="0.12511340874103702"/>
    <n v="2.8506933883090845E-2"/>
  </r>
  <r>
    <x v="129"/>
    <x v="129"/>
    <n v="4.8510400000000002"/>
    <n v="1439.89"/>
    <n v="261.89999999999998"/>
    <n v="-6.3725543006248886E-2"/>
    <n v="-7.4693958680726764E-3"/>
    <n v="0.13345500081785397"/>
    <n v="4.310760058340416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B207C-38FB-42FA-AFF6-2DC0EACD28B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E134" firstHeaderRow="0" firstDataRow="1" firstDataCol="1" rowPageCount="1" colPageCount="1"/>
  <pivotFields count="12">
    <pivotField axis="axisRow" numFmtId="14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umFmtId="164" showAll="0">
      <items count="131">
        <item x="0"/>
        <item x="1"/>
        <item x="2"/>
        <item x="3"/>
        <item x="11"/>
        <item x="10"/>
        <item x="13"/>
        <item x="12"/>
        <item x="5"/>
        <item x="4"/>
        <item x="7"/>
        <item x="15"/>
        <item x="14"/>
        <item x="6"/>
        <item x="9"/>
        <item x="16"/>
        <item x="8"/>
        <item x="17"/>
        <item x="18"/>
        <item x="20"/>
        <item x="21"/>
        <item x="19"/>
        <item x="22"/>
        <item x="23"/>
        <item x="24"/>
        <item x="27"/>
        <item x="25"/>
        <item x="26"/>
        <item x="28"/>
        <item x="31"/>
        <item x="29"/>
        <item x="30"/>
        <item x="91"/>
        <item x="90"/>
        <item x="35"/>
        <item x="89"/>
        <item x="34"/>
        <item x="92"/>
        <item x="37"/>
        <item x="38"/>
        <item x="108"/>
        <item x="105"/>
        <item x="88"/>
        <item x="106"/>
        <item x="109"/>
        <item x="36"/>
        <item x="98"/>
        <item x="32"/>
        <item x="99"/>
        <item x="33"/>
        <item x="107"/>
        <item x="110"/>
        <item x="111"/>
        <item x="39"/>
        <item x="87"/>
        <item x="100"/>
        <item x="104"/>
        <item x="93"/>
        <item x="95"/>
        <item x="94"/>
        <item x="112"/>
        <item x="97"/>
        <item x="46"/>
        <item x="96"/>
        <item x="47"/>
        <item x="40"/>
        <item x="113"/>
        <item x="103"/>
        <item x="45"/>
        <item x="41"/>
        <item x="101"/>
        <item x="114"/>
        <item x="117"/>
        <item x="102"/>
        <item x="85"/>
        <item x="76"/>
        <item x="75"/>
        <item x="79"/>
        <item x="118"/>
        <item x="86"/>
        <item x="81"/>
        <item x="116"/>
        <item x="84"/>
        <item x="44"/>
        <item x="48"/>
        <item x="49"/>
        <item x="82"/>
        <item x="78"/>
        <item x="77"/>
        <item x="74"/>
        <item x="115"/>
        <item x="42"/>
        <item x="80"/>
        <item x="83"/>
        <item x="50"/>
        <item x="119"/>
        <item x="43"/>
        <item x="52"/>
        <item x="51"/>
        <item x="53"/>
        <item x="120"/>
        <item x="122"/>
        <item x="54"/>
        <item x="121"/>
        <item x="124"/>
        <item x="73"/>
        <item x="56"/>
        <item x="123"/>
        <item x="57"/>
        <item x="55"/>
        <item x="58"/>
        <item x="126"/>
        <item x="127"/>
        <item x="129"/>
        <item x="71"/>
        <item x="61"/>
        <item x="59"/>
        <item x="60"/>
        <item x="128"/>
        <item x="62"/>
        <item x="125"/>
        <item x="72"/>
        <item x="69"/>
        <item x="63"/>
        <item x="70"/>
        <item x="65"/>
        <item x="66"/>
        <item x="64"/>
        <item x="68"/>
        <item x="67"/>
        <item t="default"/>
      </items>
    </pivotField>
    <pivotField numFmtId="164"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t="default"/>
      </items>
    </pivotField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1" hier="-1"/>
  </pageFields>
  <dataFields count="4">
    <dataField name="Średnia z iCDPR" fld="5" subtotal="average" baseField="11" baseItem="1"/>
    <dataField name="Średnia z iGBPPLN" fld="6" subtotal="average" baseField="11" baseItem="1"/>
    <dataField name="Średnia z iPallad" fld="7" subtotal="average" baseField="11" baseItem="1"/>
    <dataField name="Średnia z iETFSP500" fld="8" subtotal="average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9C46-EB14-4B61-AFCF-A835AED28634}">
  <dimension ref="A1:E134"/>
  <sheetViews>
    <sheetView workbookViewId="0">
      <selection activeCell="AA38" sqref="AA38"/>
    </sheetView>
  </sheetViews>
  <sheetFormatPr defaultRowHeight="15" x14ac:dyDescent="0.25"/>
  <cols>
    <col min="1" max="1" width="17.7109375" bestFit="1" customWidth="1"/>
    <col min="2" max="2" width="21" bestFit="1" customWidth="1"/>
    <col min="3" max="3" width="17.42578125" bestFit="1" customWidth="1"/>
    <col min="4" max="4" width="15.5703125" bestFit="1" customWidth="1"/>
    <col min="5" max="5" width="18.42578125" bestFit="1" customWidth="1"/>
    <col min="6" max="39" width="6.5703125" bestFit="1" customWidth="1"/>
    <col min="40" max="131" width="7.5703125" bestFit="1" customWidth="1"/>
    <col min="132" max="132" width="14.28515625" bestFit="1" customWidth="1"/>
  </cols>
  <sheetData>
    <row r="1" spans="1:5" x14ac:dyDescent="0.25">
      <c r="A1" s="27" t="s">
        <v>52</v>
      </c>
      <c r="B1" t="s">
        <v>58</v>
      </c>
    </row>
    <row r="3" spans="1:5" x14ac:dyDescent="0.25">
      <c r="A3" s="27" t="s">
        <v>46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25">
      <c r="A4" s="28">
        <v>42035</v>
      </c>
    </row>
    <row r="5" spans="1:5" x14ac:dyDescent="0.25">
      <c r="A5" s="28">
        <v>42063</v>
      </c>
      <c r="B5">
        <v>8.5693787481768008E-2</v>
      </c>
      <c r="C5">
        <v>2.5247428430014346E-2</v>
      </c>
      <c r="D5">
        <v>6.1529777253692949E-2</v>
      </c>
      <c r="E5">
        <v>4.9582977632387601E-2</v>
      </c>
    </row>
    <row r="6" spans="1:5" x14ac:dyDescent="0.25">
      <c r="A6" s="28">
        <v>42094</v>
      </c>
      <c r="B6">
        <v>0.10890078761721675</v>
      </c>
      <c r="C6">
        <v>-1.6789635034768796E-2</v>
      </c>
      <c r="D6">
        <v>-0.10636544532942645</v>
      </c>
      <c r="E6">
        <v>9.1918242931213773E-3</v>
      </c>
    </row>
    <row r="7" spans="1:5" x14ac:dyDescent="0.25">
      <c r="A7" s="28">
        <v>42124</v>
      </c>
      <c r="B7">
        <v>5.0040123215108055E-2</v>
      </c>
      <c r="C7">
        <v>-1.6830412684586061E-2</v>
      </c>
      <c r="D7">
        <v>5.5175017048870262E-2</v>
      </c>
      <c r="E7">
        <v>-3.956563283189414E-2</v>
      </c>
    </row>
    <row r="8" spans="1:5" x14ac:dyDescent="0.25">
      <c r="A8" s="28">
        <v>42155</v>
      </c>
      <c r="B8">
        <v>0.15832823159468523</v>
      </c>
      <c r="C8">
        <v>3.4161887365558953E-2</v>
      </c>
      <c r="D8">
        <v>-7.0741827446134278E-4</v>
      </c>
      <c r="E8">
        <v>4.7083484274879399E-2</v>
      </c>
    </row>
    <row r="9" spans="1:5" x14ac:dyDescent="0.25">
      <c r="A9" s="28">
        <v>42185</v>
      </c>
      <c r="B9">
        <v>-1.9137704968614132E-2</v>
      </c>
      <c r="C9">
        <v>3.2273926001059654E-2</v>
      </c>
      <c r="D9">
        <v>-0.14153332506702213</v>
      </c>
      <c r="E9">
        <v>-1.7695553956425525E-2</v>
      </c>
    </row>
    <row r="10" spans="1:5" x14ac:dyDescent="0.25">
      <c r="A10" s="28">
        <v>42216</v>
      </c>
      <c r="B10">
        <v>0.10828540631438015</v>
      </c>
      <c r="C10">
        <v>-3.3063595715513133E-3</v>
      </c>
      <c r="D10">
        <v>-9.7105365924950643E-2</v>
      </c>
      <c r="E10">
        <v>1.9424220226274439E-2</v>
      </c>
    </row>
    <row r="11" spans="1:5" x14ac:dyDescent="0.25">
      <c r="A11" s="28">
        <v>42247</v>
      </c>
      <c r="B11">
        <v>-8.6647744526945319E-2</v>
      </c>
      <c r="C11">
        <v>-1.7051703982290854E-2</v>
      </c>
      <c r="D11">
        <v>-1.9079922159594413E-2</v>
      </c>
      <c r="E11">
        <v>-5.8130686169571281E-2</v>
      </c>
    </row>
    <row r="12" spans="1:5" x14ac:dyDescent="0.25">
      <c r="A12" s="28">
        <v>42277</v>
      </c>
      <c r="B12">
        <v>0.10274430563940602</v>
      </c>
      <c r="C12">
        <v>-7.4577221964271046E-3</v>
      </c>
      <c r="D12">
        <v>8.3444873840870001E-2</v>
      </c>
      <c r="E12">
        <v>-2.9159766887400684E-2</v>
      </c>
    </row>
    <row r="13" spans="1:5" x14ac:dyDescent="0.25">
      <c r="A13" s="28">
        <v>42308</v>
      </c>
      <c r="B13">
        <v>-1.2343295984950403E-2</v>
      </c>
      <c r="C13">
        <v>3.599641415681E-2</v>
      </c>
      <c r="D13">
        <v>3.4843059612179192E-2</v>
      </c>
      <c r="E13">
        <v>0.10678012298106561</v>
      </c>
    </row>
    <row r="14" spans="1:5" x14ac:dyDescent="0.25">
      <c r="A14" s="28">
        <v>42338</v>
      </c>
      <c r="B14">
        <v>-0.16334940892701072</v>
      </c>
      <c r="C14">
        <v>2.0539213842069214E-2</v>
      </c>
      <c r="D14">
        <v>-0.2224411872759462</v>
      </c>
      <c r="E14">
        <v>5.4366176513962181E-2</v>
      </c>
    </row>
    <row r="15" spans="1:5" x14ac:dyDescent="0.25">
      <c r="A15" s="28">
        <v>42369</v>
      </c>
      <c r="B15">
        <v>-1.9690805591470437E-2</v>
      </c>
      <c r="C15">
        <v>-5.0178417902107322E-2</v>
      </c>
      <c r="D15">
        <v>3.7675999364870406E-2</v>
      </c>
      <c r="E15">
        <v>-4.9618321122892294E-2</v>
      </c>
    </row>
    <row r="16" spans="1:5" x14ac:dyDescent="0.25">
      <c r="A16" s="28">
        <v>42400</v>
      </c>
      <c r="B16">
        <v>4.1548152795024766E-2</v>
      </c>
      <c r="C16">
        <v>4.9058123946631978E-3</v>
      </c>
      <c r="D16">
        <v>-0.12050024706561104</v>
      </c>
      <c r="E16">
        <v>-2.7684831002069425E-2</v>
      </c>
    </row>
    <row r="17" spans="1:5" x14ac:dyDescent="0.25">
      <c r="A17" s="28">
        <v>42429</v>
      </c>
      <c r="B17">
        <v>-3.9118090326660648E-3</v>
      </c>
      <c r="C17">
        <v>-4.3251200247215536E-2</v>
      </c>
      <c r="D17">
        <v>-7.85898251516641E-3</v>
      </c>
      <c r="E17">
        <v>-8.7034521710792987E-3</v>
      </c>
    </row>
    <row r="18" spans="1:5" x14ac:dyDescent="0.25">
      <c r="A18" s="28">
        <v>42460</v>
      </c>
      <c r="B18">
        <v>0.11098868476627295</v>
      </c>
      <c r="C18">
        <v>-3.8753674192579718E-2</v>
      </c>
      <c r="D18">
        <v>0.13155695836709852</v>
      </c>
      <c r="E18">
        <v>-8.6868357570010594E-4</v>
      </c>
    </row>
    <row r="19" spans="1:5" x14ac:dyDescent="0.25">
      <c r="A19" s="28">
        <v>42490</v>
      </c>
      <c r="B19">
        <v>-9.7598816011223062E-3</v>
      </c>
      <c r="C19">
        <v>4.1358318818233923E-2</v>
      </c>
      <c r="D19">
        <v>0.10704409232592689</v>
      </c>
      <c r="E19">
        <v>2.1046319144308864E-2</v>
      </c>
    </row>
    <row r="20" spans="1:5" x14ac:dyDescent="0.25">
      <c r="A20" s="28">
        <v>42521</v>
      </c>
      <c r="B20">
        <v>5.3205486718286989E-2</v>
      </c>
      <c r="C20">
        <v>2.2484799102509896E-2</v>
      </c>
      <c r="D20">
        <v>-0.13744113156505813</v>
      </c>
      <c r="E20">
        <v>5.1219279443291604E-2</v>
      </c>
    </row>
    <row r="21" spans="1:5" x14ac:dyDescent="0.25">
      <c r="A21" s="28">
        <v>42551</v>
      </c>
      <c r="B21">
        <v>2.0609436703758737E-2</v>
      </c>
      <c r="C21">
        <v>-8.6987013201002092E-2</v>
      </c>
      <c r="D21">
        <v>9.2743775636906056E-2</v>
      </c>
      <c r="E21">
        <v>9.0996760275466738E-4</v>
      </c>
    </row>
    <row r="22" spans="1:5" x14ac:dyDescent="0.25">
      <c r="A22" s="28">
        <v>42582</v>
      </c>
      <c r="B22">
        <v>0.2390630961443064</v>
      </c>
      <c r="C22">
        <v>-1.426650513538999E-2</v>
      </c>
      <c r="D22">
        <v>0.16758465120275967</v>
      </c>
      <c r="E22">
        <v>2.7597339219933771E-2</v>
      </c>
    </row>
    <row r="23" spans="1:5" x14ac:dyDescent="0.25">
      <c r="A23" s="28">
        <v>42613</v>
      </c>
      <c r="B23">
        <v>0.19992584421174442</v>
      </c>
      <c r="C23">
        <v>-4.14300444306281E-3</v>
      </c>
      <c r="D23">
        <v>-5.261821325845055E-2</v>
      </c>
      <c r="E23">
        <v>7.1399737497029958E-3</v>
      </c>
    </row>
    <row r="24" spans="1:5" x14ac:dyDescent="0.25">
      <c r="A24" s="28">
        <v>42643</v>
      </c>
      <c r="B24">
        <v>-6.4126075849295819E-2</v>
      </c>
      <c r="C24">
        <v>-3.5892987723929043E-2</v>
      </c>
      <c r="D24">
        <v>7.0704666964491431E-2</v>
      </c>
      <c r="E24">
        <v>-1.8101304941992431E-2</v>
      </c>
    </row>
    <row r="25" spans="1:5" x14ac:dyDescent="0.25">
      <c r="A25" s="28">
        <v>42674</v>
      </c>
      <c r="B25">
        <v>5.0093621963394526E-4</v>
      </c>
      <c r="C25">
        <v>-3.1368700360955647E-2</v>
      </c>
      <c r="D25">
        <v>-0.15157959344070387</v>
      </c>
      <c r="E25">
        <v>9.6676366157741681E-3</v>
      </c>
    </row>
    <row r="26" spans="1:5" x14ac:dyDescent="0.25">
      <c r="A26" s="28">
        <v>42704</v>
      </c>
      <c r="B26">
        <v>0.17927551202326109</v>
      </c>
      <c r="C26">
        <v>9.0938921667822706E-2</v>
      </c>
      <c r="D26">
        <v>0.215148786800376</v>
      </c>
      <c r="E26">
        <v>9.744305757475942E-2</v>
      </c>
    </row>
    <row r="27" spans="1:5" x14ac:dyDescent="0.25">
      <c r="A27" s="28">
        <v>42735</v>
      </c>
      <c r="B27">
        <v>8.9919914934821585E-2</v>
      </c>
      <c r="C27">
        <v>-1.9795936422744038E-2</v>
      </c>
      <c r="D27">
        <v>-0.1250176838745054</v>
      </c>
      <c r="E27">
        <v>7.7226643129157746E-3</v>
      </c>
    </row>
    <row r="28" spans="1:5" x14ac:dyDescent="0.25">
      <c r="A28" s="28">
        <v>42766</v>
      </c>
      <c r="B28">
        <v>0.11649325809582871</v>
      </c>
      <c r="C28">
        <v>-2.4013381693161213E-2</v>
      </c>
      <c r="D28">
        <v>0.10429583746775575</v>
      </c>
      <c r="E28">
        <v>-2.363683670008266E-2</v>
      </c>
    </row>
    <row r="29" spans="1:5" x14ac:dyDescent="0.25">
      <c r="A29" s="28">
        <v>42794</v>
      </c>
      <c r="B29">
        <v>0.18333622635219907</v>
      </c>
      <c r="C29">
        <v>9.1311880064193229E-4</v>
      </c>
      <c r="D29">
        <v>2.3160682164008597E-2</v>
      </c>
      <c r="E29">
        <v>5.4732962302375045E-2</v>
      </c>
    </row>
    <row r="30" spans="1:5" x14ac:dyDescent="0.25">
      <c r="A30" s="28">
        <v>42825</v>
      </c>
      <c r="B30">
        <v>5.1853007034498341E-2</v>
      </c>
      <c r="C30">
        <v>-1.4286142814063181E-2</v>
      </c>
      <c r="D30">
        <v>3.2179416633082512E-2</v>
      </c>
      <c r="E30">
        <v>-1.8239357271733994E-2</v>
      </c>
    </row>
    <row r="31" spans="1:5" x14ac:dyDescent="0.25">
      <c r="A31" s="28">
        <v>42855</v>
      </c>
      <c r="B31">
        <v>-9.0354293734645708E-2</v>
      </c>
      <c r="C31">
        <v>1.1219926688919864E-2</v>
      </c>
      <c r="D31">
        <v>3.8663689940359076E-2</v>
      </c>
      <c r="E31">
        <v>-1.3919081677102112E-2</v>
      </c>
    </row>
    <row r="32" spans="1:5" x14ac:dyDescent="0.25">
      <c r="A32" s="28">
        <v>42886</v>
      </c>
      <c r="B32">
        <v>0.16665304420717011</v>
      </c>
      <c r="C32">
        <v>-4.8062304217058191E-2</v>
      </c>
      <c r="D32">
        <v>-1.0483751710111077E-2</v>
      </c>
      <c r="E32">
        <v>-3.1033130103680848E-2</v>
      </c>
    </row>
    <row r="33" spans="1:5" x14ac:dyDescent="0.25">
      <c r="A33" s="28">
        <v>42916</v>
      </c>
      <c r="B33">
        <v>8.6237493179448219E-2</v>
      </c>
      <c r="C33">
        <v>7.769238727357736E-3</v>
      </c>
      <c r="D33">
        <v>2.9292783777157341E-2</v>
      </c>
      <c r="E33">
        <v>7.0438308902546383E-3</v>
      </c>
    </row>
    <row r="34" spans="1:5" x14ac:dyDescent="0.25">
      <c r="A34" s="28">
        <v>42947</v>
      </c>
      <c r="B34">
        <v>5.3456077938153291E-3</v>
      </c>
      <c r="C34">
        <v>-1.6393073424798347E-2</v>
      </c>
      <c r="D34">
        <v>4.9444846397047632E-2</v>
      </c>
      <c r="E34">
        <v>-1.204039421839509E-2</v>
      </c>
    </row>
    <row r="35" spans="1:5" x14ac:dyDescent="0.25">
      <c r="A35" s="28">
        <v>42978</v>
      </c>
      <c r="B35">
        <v>-3.6511624280726941E-2</v>
      </c>
      <c r="C35">
        <v>-3.0211801514405931E-2</v>
      </c>
      <c r="D35">
        <v>5.6396488035711526E-2</v>
      </c>
      <c r="E35">
        <v>-7.5239227195431383E-3</v>
      </c>
    </row>
    <row r="36" spans="1:5" x14ac:dyDescent="0.25">
      <c r="A36" s="28">
        <v>43008</v>
      </c>
      <c r="B36">
        <v>0.33212961911207906</v>
      </c>
      <c r="C36">
        <v>5.9701175071681246E-2</v>
      </c>
      <c r="D36">
        <v>-4.050093314089424E-4</v>
      </c>
      <c r="E36">
        <v>4.3005345039026033E-2</v>
      </c>
    </row>
    <row r="37" spans="1:5" x14ac:dyDescent="0.25">
      <c r="A37" s="28">
        <v>43039</v>
      </c>
      <c r="B37">
        <v>3.6663764699976231E-2</v>
      </c>
      <c r="C37">
        <v>-1.1382106273857277E-2</v>
      </c>
      <c r="D37">
        <v>4.4299725881492079E-2</v>
      </c>
      <c r="E37">
        <v>2.3917339725742785E-2</v>
      </c>
    </row>
    <row r="38" spans="1:5" x14ac:dyDescent="0.25">
      <c r="A38" s="28">
        <v>43069</v>
      </c>
      <c r="B38">
        <v>-0.17233401077764751</v>
      </c>
      <c r="C38">
        <v>-1.201128155031185E-2</v>
      </c>
      <c r="D38">
        <v>2.9502858227130935E-2</v>
      </c>
      <c r="E38">
        <v>-3.8686076200924058E-3</v>
      </c>
    </row>
    <row r="39" spans="1:5" x14ac:dyDescent="0.25">
      <c r="A39" s="28">
        <v>43100</v>
      </c>
      <c r="B39">
        <v>-4.5396674958582829E-2</v>
      </c>
      <c r="C39">
        <v>-1.6466254568325116E-2</v>
      </c>
      <c r="D39">
        <v>5.1233881387968722E-2</v>
      </c>
      <c r="E39">
        <v>-9.1656784517290949E-4</v>
      </c>
    </row>
    <row r="40" spans="1:5" x14ac:dyDescent="0.25">
      <c r="A40" s="28">
        <v>43131</v>
      </c>
      <c r="B40">
        <v>0.17892282609462748</v>
      </c>
      <c r="C40">
        <v>1.0801968210694336E-2</v>
      </c>
      <c r="D40">
        <v>-3.0468905818050118E-2</v>
      </c>
      <c r="E40">
        <v>1.5045785412275468E-2</v>
      </c>
    </row>
    <row r="41" spans="1:5" x14ac:dyDescent="0.25">
      <c r="A41" s="28">
        <v>43159</v>
      </c>
      <c r="B41">
        <v>-8.0786731715441401E-2</v>
      </c>
      <c r="C41">
        <v>-8.0984768945080755E-3</v>
      </c>
      <c r="D41">
        <v>1.2069244985856421E-2</v>
      </c>
      <c r="E41">
        <v>1.456422995368057E-3</v>
      </c>
    </row>
    <row r="42" spans="1:5" x14ac:dyDescent="0.25">
      <c r="A42" s="28">
        <v>43190</v>
      </c>
      <c r="B42">
        <v>2.2176910598222903E-2</v>
      </c>
      <c r="C42">
        <v>1.8441251614014553E-2</v>
      </c>
      <c r="D42">
        <v>-9.4146640118696071E-2</v>
      </c>
      <c r="E42">
        <v>-5.3637032601758221E-2</v>
      </c>
    </row>
    <row r="43" spans="1:5" x14ac:dyDescent="0.25">
      <c r="A43" s="28">
        <v>43220</v>
      </c>
      <c r="B43">
        <v>0.13163418098007201</v>
      </c>
      <c r="C43">
        <v>6.7886272851052859E-3</v>
      </c>
      <c r="D43">
        <v>1.8256296733437847E-2</v>
      </c>
      <c r="E43">
        <v>4.3849286509110144E-2</v>
      </c>
    </row>
    <row r="44" spans="1:5" x14ac:dyDescent="0.25">
      <c r="A44" s="28">
        <v>43251</v>
      </c>
      <c r="B44">
        <v>0.1651587116734505</v>
      </c>
      <c r="C44">
        <v>1.5400986028959094E-2</v>
      </c>
      <c r="D44">
        <v>2.2861700717849508E-2</v>
      </c>
      <c r="E44">
        <v>7.7376578147755809E-2</v>
      </c>
    </row>
    <row r="45" spans="1:5" x14ac:dyDescent="0.25">
      <c r="A45" s="28">
        <v>43281</v>
      </c>
      <c r="B45">
        <v>9.4547603838473923E-2</v>
      </c>
      <c r="C45">
        <v>7.5912133101323333E-3</v>
      </c>
      <c r="D45">
        <v>-3.8773009968161187E-2</v>
      </c>
      <c r="E45">
        <v>2.3956473262719883E-2</v>
      </c>
    </row>
    <row r="46" spans="1:5" x14ac:dyDescent="0.25">
      <c r="A46" s="28">
        <v>43312</v>
      </c>
      <c r="B46">
        <v>0.19940722153089299</v>
      </c>
      <c r="C46">
        <v>-2.965997742925932E-2</v>
      </c>
      <c r="D46">
        <v>-1.8583934861997605E-2</v>
      </c>
      <c r="E46">
        <v>-1.0987361439296522E-3</v>
      </c>
    </row>
    <row r="47" spans="1:5" x14ac:dyDescent="0.25">
      <c r="A47" s="28">
        <v>43343</v>
      </c>
      <c r="B47">
        <v>4.2124926300671148E-2</v>
      </c>
      <c r="C47">
        <v>1.1077980109748945E-3</v>
      </c>
      <c r="D47">
        <v>5.1377823477645398E-2</v>
      </c>
      <c r="E47">
        <v>5.4117003968807066E-2</v>
      </c>
    </row>
    <row r="48" spans="1:5" x14ac:dyDescent="0.25">
      <c r="A48" s="28">
        <v>43373</v>
      </c>
      <c r="B48">
        <v>-9.5168144437279625E-2</v>
      </c>
      <c r="C48">
        <v>1.1029614526157564E-4</v>
      </c>
      <c r="D48">
        <v>8.9757935475485939E-2</v>
      </c>
      <c r="E48">
        <v>-1.6241938652607109E-3</v>
      </c>
    </row>
    <row r="49" spans="1:5" x14ac:dyDescent="0.25">
      <c r="A49" s="28">
        <v>43404</v>
      </c>
      <c r="B49">
        <v>-0.16819093287428108</v>
      </c>
      <c r="C49">
        <v>1.9635280868424393E-2</v>
      </c>
      <c r="D49">
        <v>4.8386294139538188E-3</v>
      </c>
      <c r="E49">
        <v>-3.3444297851621847E-2</v>
      </c>
    </row>
    <row r="50" spans="1:5" x14ac:dyDescent="0.25">
      <c r="A50" s="28">
        <v>43434</v>
      </c>
      <c r="B50">
        <v>-0.10730044573351323</v>
      </c>
      <c r="C50">
        <v>-1.4065565312224771E-2</v>
      </c>
      <c r="D50">
        <v>8.8305891502280562E-2</v>
      </c>
      <c r="E50">
        <v>2.0818136287244844E-3</v>
      </c>
    </row>
    <row r="51" spans="1:5" x14ac:dyDescent="0.25">
      <c r="A51" s="28">
        <v>43465</v>
      </c>
      <c r="B51">
        <v>2.3641168620757873E-2</v>
      </c>
      <c r="C51">
        <v>-1.2697320549339147E-2</v>
      </c>
      <c r="D51">
        <v>6.5941216837510447E-2</v>
      </c>
      <c r="E51">
        <v>-0.10254052340364476</v>
      </c>
    </row>
    <row r="52" spans="1:5" x14ac:dyDescent="0.25">
      <c r="A52" s="28">
        <v>43496</v>
      </c>
      <c r="B52">
        <v>0.26616005942890414</v>
      </c>
      <c r="C52">
        <v>2.274937399218567E-2</v>
      </c>
      <c r="D52">
        <v>6.2970073766986809E-2</v>
      </c>
      <c r="E52">
        <v>7.3490153844009462E-2</v>
      </c>
    </row>
    <row r="53" spans="1:5" x14ac:dyDescent="0.25">
      <c r="A53" s="28">
        <v>43524</v>
      </c>
      <c r="B53">
        <v>4.8150948552154818E-4</v>
      </c>
      <c r="C53">
        <v>2.802307588596565E-2</v>
      </c>
      <c r="D53">
        <v>0.14075797127766182</v>
      </c>
      <c r="E53">
        <v>4.6357054880335945E-2</v>
      </c>
    </row>
    <row r="54" spans="1:5" x14ac:dyDescent="0.25">
      <c r="A54" s="28">
        <v>43555</v>
      </c>
      <c r="B54">
        <v>5.0833065799232198E-2</v>
      </c>
      <c r="C54">
        <v>-3.6181706163266303E-3</v>
      </c>
      <c r="D54">
        <v>-0.11317639327937747</v>
      </c>
      <c r="E54">
        <v>2.5932022752791661E-2</v>
      </c>
    </row>
    <row r="55" spans="1:5" x14ac:dyDescent="0.25">
      <c r="A55" s="28">
        <v>43585</v>
      </c>
      <c r="B55">
        <v>7.18439599301363E-2</v>
      </c>
      <c r="C55">
        <v>-3.8400143336854392E-3</v>
      </c>
      <c r="D55">
        <v>5.9905053093339353E-3</v>
      </c>
      <c r="E55">
        <v>3.4919356784935879E-2</v>
      </c>
    </row>
    <row r="56" spans="1:5" x14ac:dyDescent="0.25">
      <c r="A56" s="28">
        <v>43616</v>
      </c>
      <c r="B56">
        <v>-2.8847743737741231E-2</v>
      </c>
      <c r="C56">
        <v>-2.7920034888529094E-2</v>
      </c>
      <c r="D56">
        <v>-4.7170599623790214E-2</v>
      </c>
      <c r="E56">
        <v>-5.0827592333299636E-2</v>
      </c>
    </row>
    <row r="57" spans="1:5" x14ac:dyDescent="0.25">
      <c r="A57" s="28">
        <v>43646</v>
      </c>
      <c r="B57">
        <v>3.5465561909510328E-2</v>
      </c>
      <c r="C57">
        <v>-2.1739533051211766E-2</v>
      </c>
      <c r="D57">
        <v>0.15054162965135112</v>
      </c>
      <c r="E57">
        <v>3.1562506108924263E-2</v>
      </c>
    </row>
    <row r="58" spans="1:5" x14ac:dyDescent="0.25">
      <c r="A58" s="28">
        <v>43677</v>
      </c>
      <c r="B58">
        <v>6.6046500364464203E-2</v>
      </c>
      <c r="C58">
        <v>-6.725510028042273E-3</v>
      </c>
      <c r="D58">
        <v>-1.3911847338211495E-2</v>
      </c>
      <c r="E58">
        <v>5.9745949098012008E-2</v>
      </c>
    </row>
    <row r="59" spans="1:5" x14ac:dyDescent="0.25">
      <c r="A59" s="28">
        <v>43708</v>
      </c>
      <c r="B59">
        <v>9.5328178375741063E-2</v>
      </c>
      <c r="C59">
        <v>2.793243748999431E-2</v>
      </c>
      <c r="D59">
        <v>6.8004052447504532E-3</v>
      </c>
      <c r="E59">
        <v>9.0793927935388617E-3</v>
      </c>
    </row>
    <row r="60" spans="1:5" x14ac:dyDescent="0.25">
      <c r="A60" s="28">
        <v>43738</v>
      </c>
      <c r="B60">
        <v>-3.8673041797298427E-2</v>
      </c>
      <c r="C60">
        <v>1.7793109642871546E-2</v>
      </c>
      <c r="D60">
        <v>9.1363264492087287E-2</v>
      </c>
      <c r="E60">
        <v>2.1635491601748377E-2</v>
      </c>
    </row>
    <row r="61" spans="1:5" x14ac:dyDescent="0.25">
      <c r="A61" s="28">
        <v>43769</v>
      </c>
      <c r="B61">
        <v>3.5092069935171881E-2</v>
      </c>
      <c r="C61">
        <v>2.7650711366034989E-3</v>
      </c>
      <c r="D61">
        <v>6.8976965016994463E-2</v>
      </c>
      <c r="E61">
        <v>-2.8168344805078609E-2</v>
      </c>
    </row>
    <row r="62" spans="1:5" x14ac:dyDescent="0.25">
      <c r="A62" s="28">
        <v>43799</v>
      </c>
      <c r="B62">
        <v>4.0426715278562085E-2</v>
      </c>
      <c r="C62">
        <v>2.4373783100971585E-2</v>
      </c>
      <c r="D62">
        <v>2.4999446434107772E-2</v>
      </c>
      <c r="E62">
        <v>6.4219418269775494E-2</v>
      </c>
    </row>
    <row r="63" spans="1:5" x14ac:dyDescent="0.25">
      <c r="A63" s="28">
        <v>43830</v>
      </c>
      <c r="B63">
        <v>6.2736105433411557E-2</v>
      </c>
      <c r="C63">
        <v>-6.9236920302363754E-3</v>
      </c>
      <c r="D63">
        <v>5.5000434870370159E-2</v>
      </c>
      <c r="E63">
        <v>-4.755854154843326E-3</v>
      </c>
    </row>
    <row r="64" spans="1:5" x14ac:dyDescent="0.25">
      <c r="A64" s="28">
        <v>43861</v>
      </c>
      <c r="B64">
        <v>7.5192297560588584E-3</v>
      </c>
      <c r="C64">
        <v>1.6857642873107322E-2</v>
      </c>
      <c r="D64">
        <v>0.16241999357283912</v>
      </c>
      <c r="E64">
        <v>2.9278311052345515E-2</v>
      </c>
    </row>
    <row r="65" spans="1:5" x14ac:dyDescent="0.25">
      <c r="A65" s="28">
        <v>43890</v>
      </c>
      <c r="B65">
        <v>-1.1094796754586642E-2</v>
      </c>
      <c r="C65">
        <v>-1.7229449589595311E-2</v>
      </c>
      <c r="D65">
        <v>0.12415909647268585</v>
      </c>
      <c r="E65">
        <v>-9.77062747082134E-2</v>
      </c>
    </row>
    <row r="66" spans="1:5" x14ac:dyDescent="0.25">
      <c r="A66" s="28">
        <v>43921</v>
      </c>
      <c r="B66">
        <v>3.7378601359711418E-2</v>
      </c>
      <c r="C66">
        <v>2.1388149144867561E-2</v>
      </c>
      <c r="D66">
        <v>-9.4523312728825221E-2</v>
      </c>
      <c r="E66">
        <v>-4.8865589425338765E-2</v>
      </c>
    </row>
    <row r="67" spans="1:5" x14ac:dyDescent="0.25">
      <c r="A67" s="28">
        <v>43951</v>
      </c>
      <c r="B67">
        <v>0.21263282903886083</v>
      </c>
      <c r="C67">
        <v>1.7378821502901008E-2</v>
      </c>
      <c r="D67">
        <v>-0.17690745000658176</v>
      </c>
      <c r="E67">
        <v>0.11331730203802831</v>
      </c>
    </row>
    <row r="68" spans="1:5" x14ac:dyDescent="0.25">
      <c r="A68" s="28">
        <v>43982</v>
      </c>
      <c r="B68">
        <v>0.12148708783968391</v>
      </c>
      <c r="C68">
        <v>-5.4670643059991975E-2</v>
      </c>
      <c r="D68">
        <v>-1.91650174007339E-2</v>
      </c>
      <c r="E68">
        <v>-4.7976648345935515E-3</v>
      </c>
    </row>
    <row r="69" spans="1:5" x14ac:dyDescent="0.25">
      <c r="A69" s="28">
        <v>44012</v>
      </c>
      <c r="B69">
        <v>-2.2284106566422671E-2</v>
      </c>
      <c r="C69">
        <v>-8.2208474409922964E-3</v>
      </c>
      <c r="D69">
        <v>2.0206609073399112E-3</v>
      </c>
      <c r="E69">
        <v>9.8298685867977444E-3</v>
      </c>
    </row>
    <row r="70" spans="1:5" x14ac:dyDescent="0.25">
      <c r="A70" s="28">
        <v>44043</v>
      </c>
      <c r="B70">
        <v>1.7815729928710146E-2</v>
      </c>
      <c r="C70">
        <v>-1.2251068914178017E-3</v>
      </c>
      <c r="D70">
        <v>7.4462492102859532E-2</v>
      </c>
      <c r="E70">
        <v>-1.141851554598342E-3</v>
      </c>
    </row>
    <row r="71" spans="1:5" x14ac:dyDescent="0.25">
      <c r="A71" s="28">
        <v>44074</v>
      </c>
      <c r="B71">
        <v>8.6914121280033826E-2</v>
      </c>
      <c r="C71">
        <v>4.1746915113911442E-3</v>
      </c>
      <c r="D71">
        <v>7.1927955587947748E-2</v>
      </c>
      <c r="E71">
        <v>6.3638286994426946E-2</v>
      </c>
    </row>
    <row r="72" spans="1:5" x14ac:dyDescent="0.25">
      <c r="A72" s="28">
        <v>44104</v>
      </c>
      <c r="B72">
        <v>-4.6906152331734639E-2</v>
      </c>
      <c r="C72">
        <v>1.3719639752998326E-2</v>
      </c>
      <c r="D72">
        <v>2.7517507809545552E-2</v>
      </c>
      <c r="E72">
        <v>1.3045282277699709E-2</v>
      </c>
    </row>
    <row r="73" spans="1:5" x14ac:dyDescent="0.25">
      <c r="A73" s="28">
        <v>44135</v>
      </c>
      <c r="B73">
        <v>-0.22112267370998795</v>
      </c>
      <c r="C73">
        <v>2.5837336574491433E-2</v>
      </c>
      <c r="D73">
        <v>-4.147981707204465E-2</v>
      </c>
      <c r="E73">
        <v>-1.1643717773655795E-2</v>
      </c>
    </row>
    <row r="74" spans="1:5" x14ac:dyDescent="0.25">
      <c r="A74" s="28">
        <v>44165</v>
      </c>
      <c r="B74">
        <v>0.14952524375343185</v>
      </c>
      <c r="C74">
        <v>-2.3304088862557658E-2</v>
      </c>
      <c r="D74">
        <v>7.1986280210628237E-2</v>
      </c>
      <c r="E74">
        <v>5.21598312754218E-2</v>
      </c>
    </row>
    <row r="75" spans="1:5" x14ac:dyDescent="0.25">
      <c r="A75" s="28">
        <v>44196</v>
      </c>
      <c r="B75">
        <v>-0.34917031266514575</v>
      </c>
      <c r="C75">
        <v>2.0196871817156861E-2</v>
      </c>
      <c r="D75">
        <v>2.8608489094300003E-2</v>
      </c>
      <c r="E75">
        <v>3.4556360187962765E-2</v>
      </c>
    </row>
    <row r="76" spans="1:5" x14ac:dyDescent="0.25">
      <c r="A76" s="28">
        <v>44227</v>
      </c>
      <c r="B76">
        <v>0.10527030272053597</v>
      </c>
      <c r="C76">
        <v>-6.4259296299329068E-4</v>
      </c>
      <c r="D76">
        <v>-9.4483273162585799E-2</v>
      </c>
      <c r="E76">
        <v>2.4694919870314048E-3</v>
      </c>
    </row>
    <row r="77" spans="1:5" x14ac:dyDescent="0.25">
      <c r="A77" s="28">
        <v>44255</v>
      </c>
      <c r="B77">
        <v>-0.25456255299035446</v>
      </c>
      <c r="C77">
        <v>2.2605065214398389E-2</v>
      </c>
      <c r="D77">
        <v>4.08363411050508E-2</v>
      </c>
      <c r="E77">
        <v>1.943111177499706E-2</v>
      </c>
    </row>
    <row r="78" spans="1:5" x14ac:dyDescent="0.25">
      <c r="A78" s="28">
        <v>44286</v>
      </c>
      <c r="B78">
        <v>-0.21671464066439294</v>
      </c>
      <c r="C78">
        <v>4.2139453894049557E-2</v>
      </c>
      <c r="D78">
        <v>0.12284265196112901</v>
      </c>
      <c r="E78">
        <v>9.8660284253224276E-2</v>
      </c>
    </row>
    <row r="79" spans="1:5" x14ac:dyDescent="0.25">
      <c r="A79" s="28">
        <v>44316</v>
      </c>
      <c r="B79">
        <v>-8.9962951482381578E-2</v>
      </c>
      <c r="C79">
        <v>-3.8679491009373665E-2</v>
      </c>
      <c r="D79">
        <v>0.11159499003325363</v>
      </c>
      <c r="E79">
        <v>5.4480758248839772E-3</v>
      </c>
    </row>
    <row r="80" spans="1:5" x14ac:dyDescent="0.25">
      <c r="A80" s="28">
        <v>44347</v>
      </c>
      <c r="B80">
        <v>-2.9542118974314087E-3</v>
      </c>
      <c r="C80">
        <v>-6.2131391683106904E-3</v>
      </c>
      <c r="D80">
        <v>-3.668418547427571E-2</v>
      </c>
      <c r="E80">
        <v>-2.3090758616311494E-2</v>
      </c>
    </row>
    <row r="81" spans="1:5" x14ac:dyDescent="0.25">
      <c r="A81" s="28">
        <v>44377</v>
      </c>
      <c r="B81">
        <v>9.2099672364224602E-2</v>
      </c>
      <c r="C81">
        <v>1.2590933933511425E-2</v>
      </c>
      <c r="D81">
        <v>-1.6971744861436426E-2</v>
      </c>
      <c r="E81">
        <v>6.0975914897752719E-2</v>
      </c>
    </row>
    <row r="82" spans="1:5" x14ac:dyDescent="0.25">
      <c r="A82" s="28">
        <v>44408</v>
      </c>
      <c r="B82">
        <v>-1.5144010154500352E-3</v>
      </c>
      <c r="C82">
        <v>1.5775302700103553E-2</v>
      </c>
      <c r="D82">
        <v>-4.4546795717389107E-2</v>
      </c>
      <c r="E82">
        <v>3.4234376448600216E-2</v>
      </c>
    </row>
    <row r="83" spans="1:5" x14ac:dyDescent="0.25">
      <c r="A83" s="28">
        <v>44439</v>
      </c>
      <c r="B83">
        <v>-8.715068341104526E-2</v>
      </c>
      <c r="C83">
        <v>-1.5902422831644968E-2</v>
      </c>
      <c r="D83">
        <v>-7.5851597304977508E-2</v>
      </c>
      <c r="E83">
        <v>2.6867376869720232E-2</v>
      </c>
    </row>
    <row r="84" spans="1:5" x14ac:dyDescent="0.25">
      <c r="A84" s="28">
        <v>44469</v>
      </c>
      <c r="B84">
        <v>0.12465593345023077</v>
      </c>
      <c r="C84">
        <v>1.7454977674183494E-2</v>
      </c>
      <c r="D84">
        <v>-0.25510361641781554</v>
      </c>
      <c r="E84">
        <v>-4.5898872856329851E-3</v>
      </c>
    </row>
    <row r="85" spans="1:5" x14ac:dyDescent="0.25">
      <c r="A85" s="28">
        <v>44500</v>
      </c>
      <c r="B85">
        <v>-9.8087039031950485E-2</v>
      </c>
      <c r="C85">
        <v>1.8155777525585646E-2</v>
      </c>
      <c r="D85">
        <v>4.2626937694406064E-2</v>
      </c>
      <c r="E85">
        <v>5.542278125817713E-2</v>
      </c>
    </row>
    <row r="86" spans="1:5" x14ac:dyDescent="0.25">
      <c r="A86" s="28">
        <v>44530</v>
      </c>
      <c r="B86">
        <v>5.9288279219809968E-2</v>
      </c>
      <c r="C86">
        <v>7.4679185001515149E-4</v>
      </c>
      <c r="D86">
        <v>-0.13771281133713531</v>
      </c>
      <c r="E86">
        <v>4.8122556637013376E-2</v>
      </c>
    </row>
    <row r="87" spans="1:5" x14ac:dyDescent="0.25">
      <c r="A87" s="28">
        <v>44561</v>
      </c>
      <c r="B87">
        <v>4.4524773091779185E-2</v>
      </c>
      <c r="C87">
        <v>-1.7800409421253318E-3</v>
      </c>
      <c r="D87">
        <v>9.2121775783579316E-2</v>
      </c>
      <c r="E87">
        <v>1.905675647525909E-2</v>
      </c>
    </row>
    <row r="88" spans="1:5" x14ac:dyDescent="0.25">
      <c r="A88" s="28">
        <v>44592</v>
      </c>
      <c r="B88">
        <v>-6.8887298067877287E-2</v>
      </c>
      <c r="C88">
        <v>4.9805288617472488E-3</v>
      </c>
      <c r="D88">
        <v>0.21034785437168435</v>
      </c>
      <c r="E88">
        <v>-6.0546715493184244E-2</v>
      </c>
    </row>
    <row r="89" spans="1:5" x14ac:dyDescent="0.25">
      <c r="A89" s="28">
        <v>44620</v>
      </c>
      <c r="B89">
        <v>-6.6950432357558834E-2</v>
      </c>
      <c r="C89">
        <v>2.5510204843981921E-2</v>
      </c>
      <c r="D89">
        <v>5.8796544133753875E-2</v>
      </c>
      <c r="E89">
        <v>-5.3450702212191484E-3</v>
      </c>
    </row>
    <row r="90" spans="1:5" x14ac:dyDescent="0.25">
      <c r="A90" s="28">
        <v>44651</v>
      </c>
      <c r="B90">
        <v>3.1219253297572469E-2</v>
      </c>
      <c r="C90">
        <v>-1.9243099616778149E-2</v>
      </c>
      <c r="D90">
        <v>-9.7667136270759139E-2</v>
      </c>
      <c r="E90">
        <v>5.4778921707999036E-2</v>
      </c>
    </row>
    <row r="91" spans="1:5" x14ac:dyDescent="0.25">
      <c r="A91" s="28">
        <v>44681</v>
      </c>
      <c r="B91">
        <v>-0.36193543640361053</v>
      </c>
      <c r="C91">
        <v>9.9173114553456655E-3</v>
      </c>
      <c r="D91">
        <v>2.4311602413006238E-2</v>
      </c>
      <c r="E91">
        <v>-2.0719808451285494E-2</v>
      </c>
    </row>
    <row r="92" spans="1:5" x14ac:dyDescent="0.25">
      <c r="A92" s="28">
        <v>44712</v>
      </c>
      <c r="B92">
        <v>-0.10738472451595185</v>
      </c>
      <c r="C92">
        <v>-3.4747271716502347E-2</v>
      </c>
      <c r="D92">
        <v>-0.14701093816561045</v>
      </c>
      <c r="E92">
        <v>-5.8265555781599476E-2</v>
      </c>
    </row>
    <row r="93" spans="1:5" x14ac:dyDescent="0.25">
      <c r="A93" s="28">
        <v>44742</v>
      </c>
      <c r="B93">
        <v>-0.12722664243776441</v>
      </c>
      <c r="C93">
        <v>1.4542330349769152E-2</v>
      </c>
      <c r="D93">
        <v>-3.2376654775411594E-2</v>
      </c>
      <c r="E93">
        <v>-4.7254179041743984E-2</v>
      </c>
    </row>
    <row r="94" spans="1:5" x14ac:dyDescent="0.25">
      <c r="A94" s="28">
        <v>44773</v>
      </c>
      <c r="B94">
        <v>-4.1979076207812549E-2</v>
      </c>
      <c r="C94">
        <v>3.3581469495527587E-2</v>
      </c>
      <c r="D94">
        <v>9.6762192183596621E-2</v>
      </c>
      <c r="E94">
        <v>0.12499947952271433</v>
      </c>
    </row>
    <row r="95" spans="1:5" x14ac:dyDescent="0.25">
      <c r="A95" s="28">
        <v>44804</v>
      </c>
      <c r="B95">
        <v>-7.6525823498009099E-2</v>
      </c>
      <c r="C95">
        <v>-3.3524704219015239E-2</v>
      </c>
      <c r="D95">
        <v>-2.304419725174366E-2</v>
      </c>
      <c r="E95">
        <v>-1.5405759920135886E-2</v>
      </c>
    </row>
    <row r="96" spans="1:5" x14ac:dyDescent="0.25">
      <c r="A96" s="28">
        <v>44834</v>
      </c>
      <c r="B96">
        <v>0.17492533037898522</v>
      </c>
      <c r="C96">
        <v>1.3527704141722991E-2</v>
      </c>
      <c r="D96">
        <v>4.2445980676202179E-2</v>
      </c>
      <c r="E96">
        <v>-3.1853625041424832E-2</v>
      </c>
    </row>
    <row r="97" spans="1:5" x14ac:dyDescent="0.25">
      <c r="A97" s="28">
        <v>44865</v>
      </c>
      <c r="B97">
        <v>0.23780054233769107</v>
      </c>
      <c r="C97">
        <v>-1.1214058918866916E-2</v>
      </c>
      <c r="D97">
        <v>-0.16323496749486907</v>
      </c>
      <c r="E97">
        <v>2.3699848507612826E-2</v>
      </c>
    </row>
    <row r="98" spans="1:5" x14ac:dyDescent="0.25">
      <c r="A98" s="28">
        <v>44895</v>
      </c>
      <c r="B98">
        <v>3.0076208298179335E-2</v>
      </c>
      <c r="C98">
        <v>-1.1496459718740842E-2</v>
      </c>
      <c r="D98">
        <v>2.0432306180764571E-2</v>
      </c>
      <c r="E98">
        <v>-2.9196420029437831E-2</v>
      </c>
    </row>
    <row r="99" spans="1:5" x14ac:dyDescent="0.25">
      <c r="A99" s="28">
        <v>44926</v>
      </c>
      <c r="B99">
        <v>-1.0281439887845467E-2</v>
      </c>
      <c r="C99">
        <v>-2.166397874003621E-2</v>
      </c>
      <c r="D99">
        <v>-5.2681111210321485E-2</v>
      </c>
      <c r="E99">
        <v>-6.0731186200028424E-2</v>
      </c>
    </row>
    <row r="100" spans="1:5" x14ac:dyDescent="0.25">
      <c r="A100" s="28">
        <v>44957</v>
      </c>
      <c r="B100">
        <v>7.201137452038521E-2</v>
      </c>
      <c r="C100">
        <v>8.3591221239114177E-3</v>
      </c>
      <c r="D100">
        <v>-8.0148833656348673E-2</v>
      </c>
      <c r="E100">
        <v>4.4762400609138824E-2</v>
      </c>
    </row>
    <row r="101" spans="1:5" x14ac:dyDescent="0.25">
      <c r="A101" s="28">
        <v>44985</v>
      </c>
      <c r="B101">
        <v>-5.0952726058459998E-2</v>
      </c>
      <c r="C101">
        <v>2.1531916605329066E-3</v>
      </c>
      <c r="D101">
        <v>-0.14732288974399077</v>
      </c>
      <c r="E101">
        <v>1.0391244918672037E-2</v>
      </c>
    </row>
    <row r="102" spans="1:5" x14ac:dyDescent="0.25">
      <c r="A102" s="28">
        <v>45016</v>
      </c>
      <c r="B102">
        <v>-0.17432297344703221</v>
      </c>
      <c r="C102">
        <v>-5.3813637580805507E-3</v>
      </c>
      <c r="D102">
        <v>3.0637573934564438E-2</v>
      </c>
      <c r="E102">
        <v>-4.8516293997623392E-3</v>
      </c>
    </row>
    <row r="103" spans="1:5" x14ac:dyDescent="0.25">
      <c r="A103" s="28">
        <v>45046</v>
      </c>
      <c r="B103">
        <v>1.8542159138541812E-2</v>
      </c>
      <c r="C103">
        <v>-1.7414914656782379E-2</v>
      </c>
      <c r="D103">
        <v>2.3176818465367607E-2</v>
      </c>
      <c r="E103">
        <v>-2.0994281248538235E-2</v>
      </c>
    </row>
    <row r="104" spans="1:5" x14ac:dyDescent="0.25">
      <c r="A104" s="28">
        <v>45077</v>
      </c>
      <c r="B104">
        <v>6.7402964956502831E-2</v>
      </c>
      <c r="C104">
        <v>8.3880683638848739E-3</v>
      </c>
      <c r="D104">
        <v>-9.4259569098380055E-2</v>
      </c>
      <c r="E104">
        <v>2.3752623593265302E-2</v>
      </c>
    </row>
    <row r="105" spans="1:5" x14ac:dyDescent="0.25">
      <c r="A105" s="28">
        <v>45107</v>
      </c>
      <c r="B105">
        <v>0.25277417082653292</v>
      </c>
      <c r="C105">
        <v>-2.1514159457479549E-2</v>
      </c>
      <c r="D105">
        <v>-0.1052696592222888</v>
      </c>
      <c r="E105">
        <v>3.3054175902131722E-2</v>
      </c>
    </row>
    <row r="106" spans="1:5" x14ac:dyDescent="0.25">
      <c r="A106" s="28">
        <v>45138</v>
      </c>
      <c r="B106">
        <v>5.3438903073130102E-2</v>
      </c>
      <c r="C106">
        <v>-4.2745062638340926E-3</v>
      </c>
      <c r="D106">
        <v>4.2327386802238048E-2</v>
      </c>
      <c r="E106">
        <v>1.1131820258664717E-2</v>
      </c>
    </row>
    <row r="107" spans="1:5" x14ac:dyDescent="0.25">
      <c r="A107" s="28">
        <v>45169</v>
      </c>
      <c r="B107">
        <v>-0.10173627875143899</v>
      </c>
      <c r="C107">
        <v>1.6377266277933299E-2</v>
      </c>
      <c r="D107">
        <v>-4.4723239470453383E-2</v>
      </c>
      <c r="E107">
        <v>1.0700047944107624E-2</v>
      </c>
    </row>
    <row r="108" spans="1:5" x14ac:dyDescent="0.25">
      <c r="A108" s="28">
        <v>45199</v>
      </c>
      <c r="B108">
        <v>-0.16424946294592099</v>
      </c>
      <c r="C108">
        <v>1.9555498200368827E-2</v>
      </c>
      <c r="D108">
        <v>1.5155106433551956E-2</v>
      </c>
      <c r="E108">
        <v>2.2992547860658231E-2</v>
      </c>
    </row>
    <row r="109" spans="1:5" x14ac:dyDescent="0.25">
      <c r="A109" s="28">
        <v>45230</v>
      </c>
      <c r="B109">
        <v>-0.17595153943173719</v>
      </c>
      <c r="C109">
        <v>-4.0016594797127762E-2</v>
      </c>
      <c r="D109">
        <v>-0.10215317779512259</v>
      </c>
      <c r="E109">
        <v>-7.2384628232568138E-2</v>
      </c>
    </row>
    <row r="110" spans="1:5" x14ac:dyDescent="0.25">
      <c r="A110" s="28">
        <v>45260</v>
      </c>
      <c r="B110">
        <v>3.6007898905160207E-2</v>
      </c>
      <c r="C110">
        <v>-1.4343953912143435E-2</v>
      </c>
      <c r="D110">
        <v>-0.11086045169279661</v>
      </c>
      <c r="E110">
        <v>3.0754173025562943E-2</v>
      </c>
    </row>
    <row r="111" spans="1:5" x14ac:dyDescent="0.25">
      <c r="A111" s="28">
        <v>45291</v>
      </c>
      <c r="B111">
        <v>5.4967228220330837E-2</v>
      </c>
      <c r="C111">
        <v>-6.2274783866518068E-3</v>
      </c>
      <c r="D111">
        <v>9.0881288657207751E-2</v>
      </c>
      <c r="E111">
        <v>3.6018158252172416E-2</v>
      </c>
    </row>
    <row r="112" spans="1:5" x14ac:dyDescent="0.25">
      <c r="A112" s="28">
        <v>45322</v>
      </c>
      <c r="B112">
        <v>-9.3356115058505454E-2</v>
      </c>
      <c r="C112">
        <v>1.2552287821655838E-2</v>
      </c>
      <c r="D112">
        <v>-0.11851290694288989</v>
      </c>
      <c r="E112">
        <v>4.9999939932407471E-2</v>
      </c>
    </row>
    <row r="113" spans="1:5" x14ac:dyDescent="0.25">
      <c r="A113" s="28">
        <v>45351</v>
      </c>
      <c r="B113">
        <v>4.6169443340685387E-2</v>
      </c>
      <c r="C113">
        <v>-7.3239986682093836E-3</v>
      </c>
      <c r="D113">
        <v>-3.6018672831084217E-2</v>
      </c>
      <c r="E113">
        <v>3.1756486912104719E-2</v>
      </c>
    </row>
    <row r="114" spans="1:5" x14ac:dyDescent="0.25">
      <c r="A114" s="28">
        <v>45382</v>
      </c>
      <c r="B114">
        <v>6.3569832298180529E-2</v>
      </c>
      <c r="C114">
        <v>-1.5264829845292992E-3</v>
      </c>
      <c r="D114">
        <v>7.2873765220238612E-2</v>
      </c>
      <c r="E114">
        <v>3.6084250380890484E-2</v>
      </c>
    </row>
    <row r="115" spans="1:5" x14ac:dyDescent="0.25">
      <c r="A115" s="28">
        <v>45412</v>
      </c>
      <c r="B115">
        <v>1.3597003968086859E-2</v>
      </c>
      <c r="C115">
        <v>8.3718916524369424E-3</v>
      </c>
      <c r="D115">
        <v>-6.3230134191795476E-2</v>
      </c>
      <c r="E115">
        <v>-1.9756516433080878E-2</v>
      </c>
    </row>
    <row r="116" spans="1:5" x14ac:dyDescent="0.25">
      <c r="A116" s="28">
        <v>45443</v>
      </c>
      <c r="B116">
        <v>9.4925423592281691E-2</v>
      </c>
      <c r="C116">
        <v>-1.1099152507089101E-2</v>
      </c>
      <c r="D116">
        <v>-4.0338324896389353E-2</v>
      </c>
      <c r="E116">
        <v>1.1727366224167058E-3</v>
      </c>
    </row>
    <row r="117" spans="1:5" x14ac:dyDescent="0.25">
      <c r="A117" s="28">
        <v>45473</v>
      </c>
      <c r="B117">
        <v>7.1536547714426774E-2</v>
      </c>
      <c r="C117">
        <v>1.3428889970058842E-2</v>
      </c>
      <c r="D117">
        <v>6.3601198681118992E-2</v>
      </c>
      <c r="E117">
        <v>7.5834051013012632E-2</v>
      </c>
    </row>
    <row r="118" spans="1:5" x14ac:dyDescent="0.25">
      <c r="A118" s="28">
        <v>45504</v>
      </c>
      <c r="B118">
        <v>0.13510387390036976</v>
      </c>
      <c r="C118">
        <v>1.1530209145254738E-3</v>
      </c>
      <c r="D118">
        <v>-5.1723691166218749E-2</v>
      </c>
      <c r="E118">
        <v>-9.6130150350695123E-3</v>
      </c>
    </row>
    <row r="119" spans="1:5" x14ac:dyDescent="0.25">
      <c r="A119" s="28">
        <v>45535</v>
      </c>
      <c r="B119">
        <v>0.14081519478321708</v>
      </c>
      <c r="C119">
        <v>-1.2355708425376129E-3</v>
      </c>
      <c r="D119">
        <v>4.0728358689305896E-2</v>
      </c>
      <c r="E119">
        <v>-1.4809120161055064E-2</v>
      </c>
    </row>
    <row r="120" spans="1:5" x14ac:dyDescent="0.25">
      <c r="A120" s="28">
        <v>45565</v>
      </c>
      <c r="B120">
        <v>-5.0118086183376168E-2</v>
      </c>
      <c r="C120">
        <v>1.0777818136320068E-2</v>
      </c>
      <c r="D120">
        <v>3.5226704821506173E-2</v>
      </c>
      <c r="E120">
        <v>2.202642870443889E-2</v>
      </c>
    </row>
    <row r="121" spans="1:5" x14ac:dyDescent="0.25">
      <c r="A121" s="28">
        <v>45596</v>
      </c>
      <c r="B121">
        <v>-8.0064319497798575E-2</v>
      </c>
      <c r="C121">
        <v>3.1141000204787804E-3</v>
      </c>
      <c r="D121">
        <v>0.11283871848131725</v>
      </c>
      <c r="E121">
        <v>4.2234570379265715E-2</v>
      </c>
    </row>
    <row r="122" spans="1:5" x14ac:dyDescent="0.25">
      <c r="A122" s="28">
        <v>45626</v>
      </c>
      <c r="B122">
        <v>3.9336691137764231E-2</v>
      </c>
      <c r="C122">
        <v>2.756534476377713E-3</v>
      </c>
      <c r="D122">
        <v>-0.1307030758110263</v>
      </c>
      <c r="E122">
        <v>6.8993153274289093E-2</v>
      </c>
    </row>
    <row r="123" spans="1:5" x14ac:dyDescent="0.25">
      <c r="A123" s="28">
        <v>45657</v>
      </c>
      <c r="B123">
        <v>0.13543617009753101</v>
      </c>
      <c r="C123">
        <v>-1.0792536790606782E-3</v>
      </c>
      <c r="D123">
        <v>-7.5378136175623361E-2</v>
      </c>
      <c r="E123">
        <v>4.7856773169040953E-3</v>
      </c>
    </row>
    <row r="124" spans="1:5" x14ac:dyDescent="0.25">
      <c r="A124" s="28">
        <v>45688</v>
      </c>
      <c r="B124">
        <v>9.7706861299368397E-2</v>
      </c>
      <c r="C124">
        <v>-2.4380176522278904E-2</v>
      </c>
      <c r="D124">
        <v>0.10368158171501819</v>
      </c>
      <c r="E124">
        <v>1.1771631730148311E-3</v>
      </c>
    </row>
    <row r="125" spans="1:5" x14ac:dyDescent="0.25">
      <c r="A125" s="28">
        <v>45716</v>
      </c>
      <c r="B125">
        <v>4.8542454856627434E-2</v>
      </c>
      <c r="C125">
        <v>8.7598718165928409E-3</v>
      </c>
      <c r="D125">
        <v>-9.0627276124144798E-2</v>
      </c>
      <c r="E125">
        <v>-5.1293294387550578E-2</v>
      </c>
    </row>
    <row r="126" spans="1:5" x14ac:dyDescent="0.25">
      <c r="A126" s="28">
        <v>45747</v>
      </c>
      <c r="B126">
        <v>-4.5234156181072072E-2</v>
      </c>
      <c r="C126">
        <v>-1.7925302009938741E-2</v>
      </c>
      <c r="D126">
        <v>6.9457502788768166E-2</v>
      </c>
      <c r="E126">
        <v>-9.63427044185141E-2</v>
      </c>
    </row>
    <row r="127" spans="1:5" x14ac:dyDescent="0.25">
      <c r="A127" s="28">
        <v>45777</v>
      </c>
      <c r="B127">
        <v>9.4969370419676916E-2</v>
      </c>
      <c r="C127">
        <v>7.0473804283420595E-3</v>
      </c>
      <c r="D127">
        <v>-4.8574670148557153E-2</v>
      </c>
      <c r="E127">
        <v>-2.9288384262327528E-2</v>
      </c>
    </row>
    <row r="128" spans="1:5" x14ac:dyDescent="0.25">
      <c r="A128" s="28">
        <v>45808</v>
      </c>
      <c r="B128">
        <v>-4.8834335707993171E-2</v>
      </c>
      <c r="C128">
        <v>1.7947765715515735E-3</v>
      </c>
      <c r="D128">
        <v>3.0842251787392163E-2</v>
      </c>
      <c r="E128">
        <v>6.1931568768463632E-2</v>
      </c>
    </row>
    <row r="129" spans="1:5" x14ac:dyDescent="0.25">
      <c r="A129" s="28">
        <v>45838</v>
      </c>
      <c r="B129">
        <v>0.2395025953242288</v>
      </c>
      <c r="C129">
        <v>-1.9074477906499878E-2</v>
      </c>
      <c r="D129">
        <v>0.12528653357881731</v>
      </c>
      <c r="E129">
        <v>1.5064142524463878E-2</v>
      </c>
    </row>
    <row r="130" spans="1:5" x14ac:dyDescent="0.25">
      <c r="A130" s="28">
        <v>45869</v>
      </c>
      <c r="B130">
        <v>-0.11139323755761248</v>
      </c>
      <c r="C130">
        <v>-6.2677480911393576E-5</v>
      </c>
      <c r="D130">
        <v>8.547318873518428E-2</v>
      </c>
      <c r="E130">
        <v>7.0075708625783384E-2</v>
      </c>
    </row>
    <row r="131" spans="1:5" x14ac:dyDescent="0.25">
      <c r="A131" s="28">
        <v>45900</v>
      </c>
      <c r="B131">
        <v>3.1796529173798056E-3</v>
      </c>
      <c r="C131">
        <v>-4.2022742741398347E-3</v>
      </c>
      <c r="D131">
        <v>-7.8795186803383432E-2</v>
      </c>
      <c r="E131">
        <v>-1.5062364961573827E-2</v>
      </c>
    </row>
    <row r="132" spans="1:5" x14ac:dyDescent="0.25">
      <c r="A132" s="28">
        <v>45930</v>
      </c>
      <c r="B132">
        <v>7.0843010775112875E-2</v>
      </c>
      <c r="C132">
        <v>-7.6739464712721811E-3</v>
      </c>
      <c r="D132">
        <v>0.12511340874103702</v>
      </c>
      <c r="E132">
        <v>2.8506933883090845E-2</v>
      </c>
    </row>
    <row r="133" spans="1:5" x14ac:dyDescent="0.25">
      <c r="A133" s="28">
        <v>45961</v>
      </c>
      <c r="B133">
        <v>-6.3725543006248886E-2</v>
      </c>
      <c r="C133">
        <v>-7.4693958680726764E-3</v>
      </c>
      <c r="D133">
        <v>0.13345500081785397</v>
      </c>
      <c r="E133">
        <v>4.3107600583404161E-2</v>
      </c>
    </row>
    <row r="134" spans="1:5" x14ac:dyDescent="0.25">
      <c r="A134" s="28" t="s">
        <v>47</v>
      </c>
      <c r="B134">
        <v>2.1923383150075897E-2</v>
      </c>
      <c r="C134">
        <v>-1.0812078533504502E-3</v>
      </c>
      <c r="D134">
        <v>4.8546993330137091E-3</v>
      </c>
      <c r="E134">
        <v>1.0826715858485641E-2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B752-AD00-41FA-9251-0D9F7308634B}">
  <dimension ref="A1:O131"/>
  <sheetViews>
    <sheetView zoomScaleNormal="100" workbookViewId="0">
      <selection activeCell="AC25" sqref="AC25"/>
    </sheetView>
  </sheetViews>
  <sheetFormatPr defaultRowHeight="15" x14ac:dyDescent="0.25"/>
  <cols>
    <col min="1" max="1" width="10.140625" bestFit="1" customWidth="1"/>
    <col min="2" max="3" width="9.28515625" bestFit="1" customWidth="1"/>
    <col min="4" max="4" width="9.5703125" bestFit="1" customWidth="1"/>
    <col min="5" max="5" width="9.28515625" bestFit="1" customWidth="1"/>
    <col min="6" max="6" width="9.28515625" customWidth="1"/>
    <col min="7" max="7" width="9.85546875" bestFit="1" customWidth="1"/>
    <col min="8" max="8" width="9.28515625" bestFit="1" customWidth="1"/>
    <col min="9" max="11" width="9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</v>
      </c>
      <c r="G1" t="s">
        <v>5</v>
      </c>
      <c r="H1" t="s">
        <v>6</v>
      </c>
      <c r="I1" t="s">
        <v>7</v>
      </c>
      <c r="J1" t="s">
        <v>8</v>
      </c>
      <c r="K1" t="s">
        <v>202</v>
      </c>
    </row>
    <row r="2" spans="1:15" x14ac:dyDescent="0.25">
      <c r="A2" s="1" t="s">
        <v>72</v>
      </c>
      <c r="B2" s="2">
        <v>15.005699999999999</v>
      </c>
      <c r="C2" s="2">
        <v>5.5770999999999997</v>
      </c>
      <c r="D2" s="2">
        <v>769.75</v>
      </c>
      <c r="E2" s="2">
        <v>64.800700000000006</v>
      </c>
      <c r="F2" s="2">
        <v>2341</v>
      </c>
    </row>
    <row r="3" spans="1:15" x14ac:dyDescent="0.25">
      <c r="A3" s="1" t="s">
        <v>73</v>
      </c>
      <c r="B3" s="2">
        <v>16.348299999999998</v>
      </c>
      <c r="C3" s="2">
        <v>5.7196999999999996</v>
      </c>
      <c r="D3" s="2">
        <v>818.6</v>
      </c>
      <c r="E3" s="2">
        <v>68.094700000000003</v>
      </c>
      <c r="F3" s="2">
        <v>2367.1</v>
      </c>
      <c r="G3" s="4">
        <f>LN(B3/B2)</f>
        <v>8.5693787481768008E-2</v>
      </c>
      <c r="H3" s="4">
        <f>LN(C3/C2)</f>
        <v>2.5247428430014346E-2</v>
      </c>
      <c r="I3" s="4">
        <f>LN(D3/D2)</f>
        <v>6.1529777253692949E-2</v>
      </c>
      <c r="J3" s="4">
        <f>LN(E3/E2)</f>
        <v>4.9582977632387601E-2</v>
      </c>
      <c r="K3" s="4">
        <f>LN(F3/F2)</f>
        <v>1.1087388701434333E-2</v>
      </c>
      <c r="L3" s="4"/>
      <c r="M3" s="4"/>
      <c r="N3" s="4"/>
      <c r="O3" s="4"/>
    </row>
    <row r="4" spans="1:15" x14ac:dyDescent="0.25">
      <c r="A4" s="1" t="s">
        <v>74</v>
      </c>
      <c r="B4" s="2">
        <v>18.229199999999999</v>
      </c>
      <c r="C4" s="2">
        <v>5.6244699999999996</v>
      </c>
      <c r="D4" s="2">
        <v>736</v>
      </c>
      <c r="E4" s="2">
        <v>68.723500000000001</v>
      </c>
      <c r="F4" s="2">
        <v>2395.94</v>
      </c>
      <c r="G4" s="4">
        <f t="shared" ref="G4:G35" si="0">LN(B4/B3)</f>
        <v>0.10890078761721675</v>
      </c>
      <c r="H4" s="4">
        <f t="shared" ref="H4:H35" si="1">LN(C4/C3)</f>
        <v>-1.6789635034768796E-2</v>
      </c>
      <c r="I4" s="4">
        <f t="shared" ref="I4:I35" si="2">LN(D4/D3)</f>
        <v>-0.10636544532942645</v>
      </c>
      <c r="J4" s="4">
        <f t="shared" ref="J4:J67" si="3">LN(E4/E3)</f>
        <v>9.1918242931213773E-3</v>
      </c>
      <c r="K4" s="4">
        <f t="shared" ref="K4:K67" si="4">LN(F4/F3)</f>
        <v>1.211006099321831E-2</v>
      </c>
    </row>
    <row r="5" spans="1:15" x14ac:dyDescent="0.25">
      <c r="A5" s="1" t="s">
        <v>75</v>
      </c>
      <c r="B5" s="2">
        <v>19.1646</v>
      </c>
      <c r="C5" s="2">
        <v>5.5305999999999997</v>
      </c>
      <c r="D5" s="2">
        <v>777.75</v>
      </c>
      <c r="E5" s="2">
        <v>66.057500000000005</v>
      </c>
      <c r="F5" s="2">
        <v>2514.63</v>
      </c>
      <c r="G5" s="4">
        <f t="shared" si="0"/>
        <v>5.0040123215108055E-2</v>
      </c>
      <c r="H5" s="4">
        <f t="shared" si="1"/>
        <v>-1.6830412684586061E-2</v>
      </c>
      <c r="I5" s="4">
        <f t="shared" si="2"/>
        <v>5.5175017048870262E-2</v>
      </c>
      <c r="J5" s="4">
        <f t="shared" si="3"/>
        <v>-3.956563283189414E-2</v>
      </c>
      <c r="K5" s="4">
        <f t="shared" si="4"/>
        <v>4.8350037229242672E-2</v>
      </c>
      <c r="M5" s="4"/>
    </row>
    <row r="6" spans="1:15" x14ac:dyDescent="0.25">
      <c r="A6" s="1" t="s">
        <v>76</v>
      </c>
      <c r="B6" s="2">
        <v>22.452300000000001</v>
      </c>
      <c r="C6" s="2">
        <v>5.7228000000000003</v>
      </c>
      <c r="D6" s="2">
        <v>777.2</v>
      </c>
      <c r="E6" s="2">
        <v>69.242099999999994</v>
      </c>
      <c r="F6" s="2">
        <v>2437.81</v>
      </c>
      <c r="G6" s="4">
        <f t="shared" si="0"/>
        <v>0.15832823159468523</v>
      </c>
      <c r="H6" s="4">
        <f t="shared" si="1"/>
        <v>3.4161887365558953E-2</v>
      </c>
      <c r="I6" s="4">
        <f t="shared" si="2"/>
        <v>-7.0741827446134278E-4</v>
      </c>
      <c r="J6" s="4">
        <f t="shared" si="3"/>
        <v>4.7083484274879399E-2</v>
      </c>
      <c r="K6" s="4">
        <f t="shared" si="4"/>
        <v>-3.1025580142249692E-2</v>
      </c>
    </row>
    <row r="7" spans="1:15" x14ac:dyDescent="0.25">
      <c r="A7" s="1" t="s">
        <v>77</v>
      </c>
      <c r="B7" s="2">
        <v>22.026700000000002</v>
      </c>
      <c r="C7" s="2">
        <v>5.9105100000000004</v>
      </c>
      <c r="D7" s="2">
        <v>674.63</v>
      </c>
      <c r="E7" s="2">
        <v>68.027600000000007</v>
      </c>
      <c r="F7" s="2">
        <v>2317.84</v>
      </c>
      <c r="G7" s="4">
        <f t="shared" si="0"/>
        <v>-1.9137704968614132E-2</v>
      </c>
      <c r="H7" s="4">
        <f t="shared" si="1"/>
        <v>3.2273926001059654E-2</v>
      </c>
      <c r="I7" s="4">
        <f t="shared" si="2"/>
        <v>-0.14153332506702213</v>
      </c>
      <c r="J7" s="4">
        <f t="shared" si="3"/>
        <v>-1.7695553956425525E-2</v>
      </c>
      <c r="K7" s="4">
        <f t="shared" si="4"/>
        <v>-5.046437777676601E-2</v>
      </c>
    </row>
    <row r="8" spans="1:15" x14ac:dyDescent="0.25">
      <c r="A8" s="1" t="s">
        <v>78</v>
      </c>
      <c r="B8" s="2">
        <v>24.5458</v>
      </c>
      <c r="C8" s="2">
        <v>5.891</v>
      </c>
      <c r="D8" s="2">
        <v>612.20000000000005</v>
      </c>
      <c r="E8" s="2">
        <v>69.361900000000006</v>
      </c>
      <c r="F8" s="2">
        <v>2227.5100000000002</v>
      </c>
      <c r="G8" s="4">
        <f t="shared" si="0"/>
        <v>0.10828540631438015</v>
      </c>
      <c r="H8" s="4">
        <f t="shared" si="1"/>
        <v>-3.3063595715513133E-3</v>
      </c>
      <c r="I8" s="4">
        <f t="shared" si="2"/>
        <v>-9.7105365924950643E-2</v>
      </c>
      <c r="J8" s="4">
        <f t="shared" si="3"/>
        <v>1.9424220226274439E-2</v>
      </c>
      <c r="K8" s="4">
        <f t="shared" si="4"/>
        <v>-3.975134782308018E-2</v>
      </c>
    </row>
    <row r="9" spans="1:15" x14ac:dyDescent="0.25">
      <c r="A9" s="1" t="s">
        <v>79</v>
      </c>
      <c r="B9" s="2">
        <v>22.508500000000002</v>
      </c>
      <c r="C9" s="2">
        <v>5.7914000000000003</v>
      </c>
      <c r="D9" s="2">
        <v>600.63</v>
      </c>
      <c r="E9" s="2">
        <v>65.444800000000001</v>
      </c>
      <c r="F9" s="2">
        <v>2163.71</v>
      </c>
      <c r="G9" s="4">
        <f t="shared" si="0"/>
        <v>-8.6647744526945319E-2</v>
      </c>
      <c r="H9" s="4">
        <f t="shared" si="1"/>
        <v>-1.7051703982290854E-2</v>
      </c>
      <c r="I9" s="4">
        <f t="shared" si="2"/>
        <v>-1.9079922159594413E-2</v>
      </c>
      <c r="J9" s="4">
        <f t="shared" si="3"/>
        <v>-5.8130686169571281E-2</v>
      </c>
      <c r="K9" s="4">
        <f t="shared" si="4"/>
        <v>-2.9060028777199463E-2</v>
      </c>
    </row>
    <row r="10" spans="1:15" x14ac:dyDescent="0.25">
      <c r="A10" s="1" t="s">
        <v>80</v>
      </c>
      <c r="B10" s="2">
        <v>24.944099999999999</v>
      </c>
      <c r="C10" s="2">
        <v>5.7483700000000004</v>
      </c>
      <c r="D10" s="2">
        <v>652.9</v>
      </c>
      <c r="E10" s="2">
        <v>63.564</v>
      </c>
      <c r="F10" s="2">
        <v>2066.37</v>
      </c>
      <c r="G10" s="4">
        <f t="shared" si="0"/>
        <v>0.10274430563940602</v>
      </c>
      <c r="H10" s="4">
        <f t="shared" si="1"/>
        <v>-7.4577221964271046E-3</v>
      </c>
      <c r="I10" s="4">
        <f t="shared" si="2"/>
        <v>8.3444873840870001E-2</v>
      </c>
      <c r="J10" s="4">
        <f t="shared" si="3"/>
        <v>-2.9159766887400684E-2</v>
      </c>
      <c r="K10" s="4">
        <f t="shared" si="4"/>
        <v>-4.6030896221590067E-2</v>
      </c>
    </row>
    <row r="11" spans="1:15" x14ac:dyDescent="0.25">
      <c r="A11" s="1" t="s">
        <v>81</v>
      </c>
      <c r="B11" s="2">
        <v>24.638100000000001</v>
      </c>
      <c r="C11" s="2">
        <v>5.95906</v>
      </c>
      <c r="D11" s="2">
        <v>676.05</v>
      </c>
      <c r="E11" s="2">
        <v>70.727000000000004</v>
      </c>
      <c r="F11" s="2">
        <v>2060.0300000000002</v>
      </c>
      <c r="G11" s="4">
        <f t="shared" si="0"/>
        <v>-1.2343295984950403E-2</v>
      </c>
      <c r="H11" s="4">
        <f t="shared" si="1"/>
        <v>3.599641415681E-2</v>
      </c>
      <c r="I11" s="4">
        <f t="shared" si="2"/>
        <v>3.4843059612179192E-2</v>
      </c>
      <c r="J11" s="4">
        <f t="shared" si="3"/>
        <v>0.10678012298106561</v>
      </c>
      <c r="K11" s="4">
        <f t="shared" si="4"/>
        <v>-3.0728988895386508E-3</v>
      </c>
    </row>
    <row r="12" spans="1:15" x14ac:dyDescent="0.25">
      <c r="A12" s="1" t="s">
        <v>82</v>
      </c>
      <c r="B12" s="2">
        <v>20.925000000000001</v>
      </c>
      <c r="C12" s="2">
        <v>6.0827200000000001</v>
      </c>
      <c r="D12" s="2">
        <v>541.22</v>
      </c>
      <c r="E12" s="2">
        <v>74.678600000000003</v>
      </c>
      <c r="F12" s="2">
        <v>1925.72</v>
      </c>
      <c r="G12" s="4">
        <f t="shared" si="0"/>
        <v>-0.16334940892701072</v>
      </c>
      <c r="H12" s="4">
        <f t="shared" si="1"/>
        <v>2.0539213842069214E-2</v>
      </c>
      <c r="I12" s="4">
        <f t="shared" si="2"/>
        <v>-0.2224411872759462</v>
      </c>
      <c r="J12" s="4">
        <f t="shared" si="3"/>
        <v>5.4366176513962181E-2</v>
      </c>
      <c r="K12" s="4">
        <f t="shared" si="4"/>
        <v>-6.7420622018749404E-2</v>
      </c>
    </row>
    <row r="13" spans="1:15" x14ac:dyDescent="0.25">
      <c r="A13" s="1" t="s">
        <v>83</v>
      </c>
      <c r="B13" s="2">
        <v>20.516999999999999</v>
      </c>
      <c r="C13" s="2">
        <v>5.7850299999999999</v>
      </c>
      <c r="D13" s="2">
        <v>562</v>
      </c>
      <c r="E13" s="2">
        <v>71.063599999999994</v>
      </c>
      <c r="F13" s="2">
        <v>1859.15</v>
      </c>
      <c r="G13" s="4">
        <f t="shared" si="0"/>
        <v>-1.9690805591470437E-2</v>
      </c>
      <c r="H13" s="4">
        <f t="shared" si="1"/>
        <v>-5.0178417902107322E-2</v>
      </c>
      <c r="I13" s="4">
        <f t="shared" si="2"/>
        <v>3.7675999364870406E-2</v>
      </c>
      <c r="J13" s="4">
        <f t="shared" si="3"/>
        <v>-4.9618321122892294E-2</v>
      </c>
      <c r="K13" s="4">
        <f t="shared" si="4"/>
        <v>-3.5180529757106824E-2</v>
      </c>
    </row>
    <row r="14" spans="1:15" x14ac:dyDescent="0.25">
      <c r="A14" s="1" t="s">
        <v>84</v>
      </c>
      <c r="B14" s="2">
        <v>21.3874</v>
      </c>
      <c r="C14" s="2">
        <v>5.8134800000000002</v>
      </c>
      <c r="D14" s="2">
        <v>498.2</v>
      </c>
      <c r="E14" s="2">
        <v>69.123199999999997</v>
      </c>
      <c r="F14" s="2">
        <v>1780.25</v>
      </c>
      <c r="G14" s="4">
        <f t="shared" si="0"/>
        <v>4.1548152795024766E-2</v>
      </c>
      <c r="H14" s="4">
        <f t="shared" si="1"/>
        <v>4.9058123946631978E-3</v>
      </c>
      <c r="I14" s="4">
        <f t="shared" si="2"/>
        <v>-0.12050024706561104</v>
      </c>
      <c r="J14" s="4">
        <f t="shared" si="3"/>
        <v>-2.7684831002069425E-2</v>
      </c>
      <c r="K14" s="4">
        <f t="shared" si="4"/>
        <v>-4.3365590146291662E-2</v>
      </c>
    </row>
    <row r="15" spans="1:15" x14ac:dyDescent="0.25">
      <c r="A15" s="1" t="s">
        <v>85</v>
      </c>
      <c r="B15" s="2">
        <v>21.303899999999999</v>
      </c>
      <c r="C15" s="2">
        <v>5.5674000000000001</v>
      </c>
      <c r="D15" s="2">
        <v>494.3</v>
      </c>
      <c r="E15" s="2">
        <v>68.524199999999993</v>
      </c>
      <c r="F15" s="2">
        <v>1824.08</v>
      </c>
      <c r="G15" s="4">
        <f t="shared" si="0"/>
        <v>-3.9118090326660648E-3</v>
      </c>
      <c r="H15" s="4">
        <f t="shared" si="1"/>
        <v>-4.3251200247215536E-2</v>
      </c>
      <c r="I15" s="4">
        <f t="shared" si="2"/>
        <v>-7.85898251516641E-3</v>
      </c>
      <c r="J15" s="4">
        <f t="shared" si="3"/>
        <v>-8.7034521710792987E-3</v>
      </c>
      <c r="K15" s="4">
        <f t="shared" si="4"/>
        <v>2.4321946459359034E-2</v>
      </c>
    </row>
    <row r="16" spans="1:15" x14ac:dyDescent="0.25">
      <c r="A16" s="1" t="s">
        <v>86</v>
      </c>
      <c r="B16" s="2">
        <v>23.804600000000001</v>
      </c>
      <c r="C16" s="2">
        <v>5.3557699999999997</v>
      </c>
      <c r="D16" s="2">
        <v>563.79999999999995</v>
      </c>
      <c r="E16" s="2">
        <v>68.464699999999993</v>
      </c>
      <c r="F16" s="2">
        <v>1997.69</v>
      </c>
      <c r="G16" s="4">
        <f t="shared" si="0"/>
        <v>0.11098868476627295</v>
      </c>
      <c r="H16" s="4">
        <f t="shared" si="1"/>
        <v>-3.8753674192579718E-2</v>
      </c>
      <c r="I16" s="4">
        <f t="shared" si="2"/>
        <v>0.13155695836709852</v>
      </c>
      <c r="J16" s="4">
        <f t="shared" si="3"/>
        <v>-8.6868357570010594E-4</v>
      </c>
      <c r="K16" s="4">
        <f t="shared" si="4"/>
        <v>9.0915762693944357E-2</v>
      </c>
    </row>
    <row r="17" spans="1:11" x14ac:dyDescent="0.25">
      <c r="A17" s="1" t="s">
        <v>87</v>
      </c>
      <c r="B17" s="2">
        <v>23.573399999999999</v>
      </c>
      <c r="C17" s="2">
        <v>5.5819200000000002</v>
      </c>
      <c r="D17" s="2">
        <v>627.5</v>
      </c>
      <c r="E17" s="2">
        <v>69.920900000000003</v>
      </c>
      <c r="F17" s="2">
        <v>1896.64</v>
      </c>
      <c r="G17" s="4">
        <f t="shared" si="0"/>
        <v>-9.7598816011223062E-3</v>
      </c>
      <c r="H17" s="4">
        <f t="shared" si="1"/>
        <v>4.1358318818233923E-2</v>
      </c>
      <c r="I17" s="4">
        <f t="shared" si="2"/>
        <v>0.10704409232592689</v>
      </c>
      <c r="J17" s="4">
        <f t="shared" si="3"/>
        <v>2.1046319144308864E-2</v>
      </c>
      <c r="K17" s="4">
        <f t="shared" si="4"/>
        <v>-5.1907613416064015E-2</v>
      </c>
    </row>
    <row r="18" spans="1:11" x14ac:dyDescent="0.25">
      <c r="A18" s="1" t="s">
        <v>88</v>
      </c>
      <c r="B18" s="2">
        <v>24.861599999999999</v>
      </c>
      <c r="C18" s="2">
        <v>5.70885</v>
      </c>
      <c r="D18" s="2">
        <v>546.91999999999996</v>
      </c>
      <c r="E18" s="2">
        <v>73.595500000000001</v>
      </c>
      <c r="F18" s="2">
        <v>1808.24</v>
      </c>
      <c r="G18" s="4">
        <f t="shared" si="0"/>
        <v>5.3205486718286989E-2</v>
      </c>
      <c r="H18" s="4">
        <f t="shared" si="1"/>
        <v>2.2484799102509896E-2</v>
      </c>
      <c r="I18" s="4">
        <f t="shared" si="2"/>
        <v>-0.13744113156505813</v>
      </c>
      <c r="J18" s="4">
        <f t="shared" si="3"/>
        <v>5.1219279443291604E-2</v>
      </c>
      <c r="K18" s="4">
        <f t="shared" si="4"/>
        <v>-4.7729903094140311E-2</v>
      </c>
    </row>
    <row r="19" spans="1:11" x14ac:dyDescent="0.25">
      <c r="A19" s="1" t="s">
        <v>89</v>
      </c>
      <c r="B19" s="2">
        <v>25.379300000000001</v>
      </c>
      <c r="C19" s="2">
        <v>5.2332400000000003</v>
      </c>
      <c r="D19" s="2">
        <v>600.07000000000005</v>
      </c>
      <c r="E19" s="2">
        <v>73.662499999999994</v>
      </c>
      <c r="F19" s="2">
        <v>1750.69</v>
      </c>
      <c r="G19" s="4">
        <f t="shared" si="0"/>
        <v>2.0609436703758737E-2</v>
      </c>
      <c r="H19" s="4">
        <f t="shared" si="1"/>
        <v>-8.6987013201002092E-2</v>
      </c>
      <c r="I19" s="4">
        <f t="shared" si="2"/>
        <v>9.2743775636906056E-2</v>
      </c>
      <c r="J19" s="4">
        <f t="shared" si="3"/>
        <v>9.0996760275466738E-4</v>
      </c>
      <c r="K19" s="4">
        <f t="shared" si="4"/>
        <v>-3.2344000583673864E-2</v>
      </c>
    </row>
    <row r="20" spans="1:11" x14ac:dyDescent="0.25">
      <c r="A20" s="1" t="s">
        <v>90</v>
      </c>
      <c r="B20" s="2">
        <v>32.233199999999997</v>
      </c>
      <c r="C20" s="2">
        <v>5.1591100000000001</v>
      </c>
      <c r="D20" s="2">
        <v>709.55</v>
      </c>
      <c r="E20" s="2">
        <v>75.723699999999994</v>
      </c>
      <c r="F20" s="2">
        <v>1759.74</v>
      </c>
      <c r="G20" s="4">
        <f t="shared" si="0"/>
        <v>0.2390630961443064</v>
      </c>
      <c r="H20" s="4">
        <f t="shared" si="1"/>
        <v>-1.426650513538999E-2</v>
      </c>
      <c r="I20" s="4">
        <f t="shared" si="2"/>
        <v>0.16758465120275967</v>
      </c>
      <c r="J20" s="4">
        <f t="shared" si="3"/>
        <v>2.7597339219933771E-2</v>
      </c>
      <c r="K20" s="4">
        <f t="shared" si="4"/>
        <v>5.1560749250626394E-3</v>
      </c>
    </row>
    <row r="21" spans="1:11" x14ac:dyDescent="0.25">
      <c r="A21" s="1" t="s">
        <v>91</v>
      </c>
      <c r="B21" s="2">
        <v>39.366799999999998</v>
      </c>
      <c r="C21" s="2">
        <v>5.1377800000000002</v>
      </c>
      <c r="D21" s="2">
        <v>673.18</v>
      </c>
      <c r="E21" s="2">
        <v>76.266300000000001</v>
      </c>
      <c r="F21" s="2">
        <v>1793.56</v>
      </c>
      <c r="G21" s="4">
        <f t="shared" si="0"/>
        <v>0.19992584421174442</v>
      </c>
      <c r="H21" s="4">
        <f t="shared" si="1"/>
        <v>-4.14300444306281E-3</v>
      </c>
      <c r="I21" s="4">
        <f t="shared" si="2"/>
        <v>-5.261821325845055E-2</v>
      </c>
      <c r="J21" s="4">
        <f t="shared" si="3"/>
        <v>7.1399737497029958E-3</v>
      </c>
      <c r="K21" s="4">
        <f t="shared" si="4"/>
        <v>1.903640070598793E-2</v>
      </c>
    </row>
    <row r="22" spans="1:11" x14ac:dyDescent="0.25">
      <c r="A22" s="1" t="s">
        <v>92</v>
      </c>
      <c r="B22" s="2">
        <v>36.921599999999998</v>
      </c>
      <c r="C22" s="2">
        <v>4.9566400000000002</v>
      </c>
      <c r="D22" s="2">
        <v>722.5</v>
      </c>
      <c r="E22" s="2">
        <v>74.898200000000003</v>
      </c>
      <c r="F22" s="2">
        <v>1709.51</v>
      </c>
      <c r="G22" s="4">
        <f t="shared" si="0"/>
        <v>-6.4126075849295819E-2</v>
      </c>
      <c r="H22" s="4">
        <f t="shared" si="1"/>
        <v>-3.5892987723929043E-2</v>
      </c>
      <c r="I22" s="4">
        <f t="shared" si="2"/>
        <v>7.0704666964491431E-2</v>
      </c>
      <c r="J22" s="4">
        <f t="shared" si="3"/>
        <v>-1.8101304941992431E-2</v>
      </c>
      <c r="K22" s="4">
        <f t="shared" si="4"/>
        <v>-4.7995691826818704E-2</v>
      </c>
    </row>
    <row r="23" spans="1:11" x14ac:dyDescent="0.25">
      <c r="A23" s="1" t="s">
        <v>93</v>
      </c>
      <c r="B23" s="2">
        <v>36.940100000000001</v>
      </c>
      <c r="C23" s="2">
        <v>4.8035699999999997</v>
      </c>
      <c r="D23" s="2">
        <v>620.88</v>
      </c>
      <c r="E23" s="2">
        <v>75.625799999999998</v>
      </c>
      <c r="F23" s="2">
        <v>1814.66</v>
      </c>
      <c r="G23" s="4">
        <f t="shared" si="0"/>
        <v>5.0093621963394526E-4</v>
      </c>
      <c r="H23" s="4">
        <f t="shared" si="1"/>
        <v>-3.1368700360955647E-2</v>
      </c>
      <c r="I23" s="4">
        <f t="shared" si="2"/>
        <v>-0.15157959344070387</v>
      </c>
      <c r="J23" s="4">
        <f t="shared" si="3"/>
        <v>9.6676366157741681E-3</v>
      </c>
      <c r="K23" s="4">
        <f t="shared" si="4"/>
        <v>5.9691342601320446E-2</v>
      </c>
    </row>
    <row r="24" spans="1:11" x14ac:dyDescent="0.25">
      <c r="A24" s="1" t="s">
        <v>94</v>
      </c>
      <c r="B24" s="2">
        <v>44.193300000000001</v>
      </c>
      <c r="C24" s="2">
        <v>5.2608800000000002</v>
      </c>
      <c r="D24" s="2">
        <v>769.92</v>
      </c>
      <c r="E24" s="2">
        <v>83.366</v>
      </c>
      <c r="F24" s="2">
        <v>1798.22</v>
      </c>
      <c r="G24" s="4">
        <f t="shared" si="0"/>
        <v>0.17927551202326109</v>
      </c>
      <c r="H24" s="4">
        <f t="shared" si="1"/>
        <v>9.0938921667822706E-2</v>
      </c>
      <c r="I24" s="4">
        <f t="shared" si="2"/>
        <v>0.215148786800376</v>
      </c>
      <c r="J24" s="4">
        <f t="shared" si="3"/>
        <v>9.744305757475942E-2</v>
      </c>
      <c r="K24" s="4">
        <f t="shared" si="4"/>
        <v>-9.1008356050460079E-3</v>
      </c>
    </row>
    <row r="25" spans="1:11" x14ac:dyDescent="0.25">
      <c r="A25" s="1" t="s">
        <v>95</v>
      </c>
      <c r="B25" s="2">
        <v>48.351300000000002</v>
      </c>
      <c r="C25" s="2">
        <v>5.1577599999999997</v>
      </c>
      <c r="D25" s="2">
        <v>679.44</v>
      </c>
      <c r="E25" s="2">
        <v>84.012299999999996</v>
      </c>
      <c r="F25" s="2">
        <v>1947.92</v>
      </c>
      <c r="G25" s="4">
        <f t="shared" si="0"/>
        <v>8.9919914934821585E-2</v>
      </c>
      <c r="H25" s="4">
        <f t="shared" si="1"/>
        <v>-1.9795936422744038E-2</v>
      </c>
      <c r="I25" s="4">
        <f t="shared" si="2"/>
        <v>-0.1250176838745054</v>
      </c>
      <c r="J25" s="4">
        <f t="shared" si="3"/>
        <v>7.7226643129157746E-3</v>
      </c>
      <c r="K25" s="4">
        <f t="shared" si="4"/>
        <v>7.9964849875204469E-2</v>
      </c>
    </row>
    <row r="26" spans="1:11" x14ac:dyDescent="0.25">
      <c r="A26" s="1" t="s">
        <v>96</v>
      </c>
      <c r="B26" s="2">
        <v>54.325099999999999</v>
      </c>
      <c r="C26" s="2">
        <v>5.03538</v>
      </c>
      <c r="D26" s="2">
        <v>754.13</v>
      </c>
      <c r="E26" s="2">
        <v>82.049800000000005</v>
      </c>
      <c r="F26" s="2">
        <v>2056.83</v>
      </c>
      <c r="G26" s="4">
        <f t="shared" si="0"/>
        <v>0.11649325809582871</v>
      </c>
      <c r="H26" s="4">
        <f t="shared" si="1"/>
        <v>-2.4013381693161213E-2</v>
      </c>
      <c r="I26" s="4">
        <f t="shared" si="2"/>
        <v>0.10429583746775575</v>
      </c>
      <c r="J26" s="4">
        <f t="shared" si="3"/>
        <v>-2.363683670008266E-2</v>
      </c>
      <c r="K26" s="4">
        <f t="shared" si="4"/>
        <v>5.4403826012232745E-2</v>
      </c>
    </row>
    <row r="27" spans="1:11" x14ac:dyDescent="0.25">
      <c r="A27" s="1" t="s">
        <v>97</v>
      </c>
      <c r="B27" s="2">
        <v>65.256299999999996</v>
      </c>
      <c r="C27" s="2">
        <v>5.0399799999999999</v>
      </c>
      <c r="D27" s="2">
        <v>771.8</v>
      </c>
      <c r="E27" s="2">
        <v>86.665800000000004</v>
      </c>
      <c r="F27" s="2">
        <v>2191.25</v>
      </c>
      <c r="G27" s="4">
        <f t="shared" si="0"/>
        <v>0.18333622635219907</v>
      </c>
      <c r="H27" s="4">
        <f t="shared" si="1"/>
        <v>9.1311880064193229E-4</v>
      </c>
      <c r="I27" s="4">
        <f t="shared" si="2"/>
        <v>2.3160682164008597E-2</v>
      </c>
      <c r="J27" s="4">
        <f t="shared" si="3"/>
        <v>5.4732962302375045E-2</v>
      </c>
      <c r="K27" s="4">
        <f t="shared" si="4"/>
        <v>6.3306194625841736E-2</v>
      </c>
    </row>
    <row r="28" spans="1:11" x14ac:dyDescent="0.25">
      <c r="A28" s="1" t="s">
        <v>98</v>
      </c>
      <c r="B28" s="2">
        <v>68.729299999999995</v>
      </c>
      <c r="C28" s="2">
        <v>4.9684900000000001</v>
      </c>
      <c r="D28" s="2">
        <v>797.04</v>
      </c>
      <c r="E28" s="2">
        <v>85.099400000000003</v>
      </c>
      <c r="F28" s="2">
        <v>2175.96</v>
      </c>
      <c r="G28" s="4">
        <f t="shared" si="0"/>
        <v>5.1853007034498341E-2</v>
      </c>
      <c r="H28" s="4">
        <f t="shared" si="1"/>
        <v>-1.4286142814063181E-2</v>
      </c>
      <c r="I28" s="4">
        <f t="shared" si="2"/>
        <v>3.2179416633082512E-2</v>
      </c>
      <c r="J28" s="4">
        <f t="shared" si="3"/>
        <v>-1.8239357271733994E-2</v>
      </c>
      <c r="K28" s="4">
        <f t="shared" si="4"/>
        <v>-7.0022107815096452E-3</v>
      </c>
    </row>
    <row r="29" spans="1:11" x14ac:dyDescent="0.25">
      <c r="A29" s="1" t="s">
        <v>99</v>
      </c>
      <c r="B29" s="2">
        <v>62.791600000000003</v>
      </c>
      <c r="C29" s="2">
        <v>5.0245499999999996</v>
      </c>
      <c r="D29" s="2">
        <v>828.46</v>
      </c>
      <c r="E29" s="2">
        <v>83.923100000000005</v>
      </c>
      <c r="F29" s="2">
        <v>2376.87</v>
      </c>
      <c r="G29" s="4">
        <f t="shared" si="0"/>
        <v>-9.0354293734645708E-2</v>
      </c>
      <c r="H29" s="4">
        <f t="shared" si="1"/>
        <v>1.1219926688919864E-2</v>
      </c>
      <c r="I29" s="4">
        <f t="shared" si="2"/>
        <v>3.8663689940359076E-2</v>
      </c>
      <c r="J29" s="4">
        <f t="shared" si="3"/>
        <v>-1.3919081677102112E-2</v>
      </c>
      <c r="K29" s="4">
        <f t="shared" si="4"/>
        <v>8.8314549623957808E-2</v>
      </c>
    </row>
    <row r="30" spans="1:11" x14ac:dyDescent="0.25">
      <c r="A30" s="1" t="s">
        <v>100</v>
      </c>
      <c r="B30" s="2">
        <v>74.1785</v>
      </c>
      <c r="C30" s="2">
        <v>4.7887700000000004</v>
      </c>
      <c r="D30" s="2">
        <v>819.82</v>
      </c>
      <c r="E30" s="2">
        <v>81.358699999999999</v>
      </c>
      <c r="F30" s="2">
        <v>2281.1799999999998</v>
      </c>
      <c r="G30" s="4">
        <f t="shared" si="0"/>
        <v>0.16665304420717011</v>
      </c>
      <c r="H30" s="4">
        <f t="shared" si="1"/>
        <v>-4.8062304217058191E-2</v>
      </c>
      <c r="I30" s="4">
        <f t="shared" si="2"/>
        <v>-1.0483751710111077E-2</v>
      </c>
      <c r="J30" s="4">
        <f t="shared" si="3"/>
        <v>-3.1033130103680848E-2</v>
      </c>
      <c r="K30" s="4">
        <f t="shared" si="4"/>
        <v>-4.1091643149389769E-2</v>
      </c>
    </row>
    <row r="31" spans="1:11" x14ac:dyDescent="0.25">
      <c r="A31" s="1" t="s">
        <v>101</v>
      </c>
      <c r="B31" s="2">
        <v>80.859399999999994</v>
      </c>
      <c r="C31" s="2">
        <v>4.8261200000000004</v>
      </c>
      <c r="D31" s="2">
        <v>844.19</v>
      </c>
      <c r="E31" s="2">
        <v>81.933800000000005</v>
      </c>
      <c r="F31" s="2">
        <v>2299.8000000000002</v>
      </c>
      <c r="G31" s="4">
        <f t="shared" si="0"/>
        <v>8.6237493179448219E-2</v>
      </c>
      <c r="H31" s="4">
        <f t="shared" si="1"/>
        <v>7.769238727357736E-3</v>
      </c>
      <c r="I31" s="4">
        <f t="shared" si="2"/>
        <v>2.9292783777157341E-2</v>
      </c>
      <c r="J31" s="4">
        <f t="shared" si="3"/>
        <v>7.0438308902546383E-3</v>
      </c>
      <c r="K31" s="4">
        <f t="shared" si="4"/>
        <v>8.1293096860618579E-3</v>
      </c>
    </row>
    <row r="32" spans="1:11" x14ac:dyDescent="0.25">
      <c r="A32" s="1" t="s">
        <v>102</v>
      </c>
      <c r="B32" s="2">
        <v>81.2928</v>
      </c>
      <c r="C32" s="2">
        <v>4.7476500000000001</v>
      </c>
      <c r="D32" s="2">
        <v>886.98</v>
      </c>
      <c r="E32" s="2">
        <v>80.953199999999995</v>
      </c>
      <c r="F32" s="2">
        <v>2374.17</v>
      </c>
      <c r="G32" s="4">
        <f t="shared" si="0"/>
        <v>5.3456077938153291E-3</v>
      </c>
      <c r="H32" s="4">
        <f t="shared" si="1"/>
        <v>-1.6393073424798347E-2</v>
      </c>
      <c r="I32" s="4">
        <f t="shared" si="2"/>
        <v>4.9444846397047632E-2</v>
      </c>
      <c r="J32" s="4">
        <f t="shared" si="3"/>
        <v>-1.204039421839509E-2</v>
      </c>
      <c r="K32" s="4">
        <f t="shared" si="4"/>
        <v>3.1825740089807694E-2</v>
      </c>
    </row>
    <row r="33" spans="1:11" x14ac:dyDescent="0.25">
      <c r="A33" s="1" t="s">
        <v>103</v>
      </c>
      <c r="B33" s="2">
        <v>78.378200000000007</v>
      </c>
      <c r="C33" s="2">
        <v>4.6063599999999996</v>
      </c>
      <c r="D33" s="2">
        <v>938.44</v>
      </c>
      <c r="E33" s="2">
        <v>80.346400000000003</v>
      </c>
      <c r="F33" s="2">
        <v>2516.2600000000002</v>
      </c>
      <c r="G33" s="4">
        <f t="shared" si="0"/>
        <v>-3.6511624280726941E-2</v>
      </c>
      <c r="H33" s="4">
        <f t="shared" si="1"/>
        <v>-3.0211801514405931E-2</v>
      </c>
      <c r="I33" s="4">
        <f t="shared" si="2"/>
        <v>5.6396488035711526E-2</v>
      </c>
      <c r="J33" s="4">
        <f t="shared" si="3"/>
        <v>-7.5239227195431383E-3</v>
      </c>
      <c r="K33" s="4">
        <f t="shared" si="4"/>
        <v>5.8125769409640926E-2</v>
      </c>
    </row>
    <row r="34" spans="1:11" x14ac:dyDescent="0.25">
      <c r="A34" s="1" t="s">
        <v>104</v>
      </c>
      <c r="B34" s="2">
        <v>109.254</v>
      </c>
      <c r="C34" s="2">
        <v>4.8897399999999998</v>
      </c>
      <c r="D34" s="2">
        <v>938.06</v>
      </c>
      <c r="E34" s="2">
        <v>83.877099999999999</v>
      </c>
      <c r="F34" s="2">
        <v>2453.46</v>
      </c>
      <c r="G34" s="4">
        <f t="shared" si="0"/>
        <v>0.33212961911207906</v>
      </c>
      <c r="H34" s="4">
        <f t="shared" si="1"/>
        <v>5.9701175071681246E-2</v>
      </c>
      <c r="I34" s="4">
        <f t="shared" si="2"/>
        <v>-4.050093314089424E-4</v>
      </c>
      <c r="J34" s="4">
        <f t="shared" si="3"/>
        <v>4.3005345039026033E-2</v>
      </c>
      <c r="K34" s="4">
        <f t="shared" si="4"/>
        <v>-2.5274398957223072E-2</v>
      </c>
    </row>
    <row r="35" spans="1:11" x14ac:dyDescent="0.25">
      <c r="A35" s="1" t="s">
        <v>105</v>
      </c>
      <c r="B35" s="2">
        <v>113.334</v>
      </c>
      <c r="C35" s="2">
        <v>4.8343999999999996</v>
      </c>
      <c r="D35" s="2">
        <v>980.55</v>
      </c>
      <c r="E35" s="2">
        <v>85.907399999999996</v>
      </c>
      <c r="F35" s="2">
        <v>2524.9</v>
      </c>
      <c r="G35" s="4">
        <f t="shared" si="0"/>
        <v>3.6663764699976231E-2</v>
      </c>
      <c r="H35" s="4">
        <f t="shared" si="1"/>
        <v>-1.1382106273857277E-2</v>
      </c>
      <c r="I35" s="4">
        <f t="shared" si="2"/>
        <v>4.4299725881492079E-2</v>
      </c>
      <c r="J35" s="4">
        <f t="shared" si="3"/>
        <v>2.3917339725742785E-2</v>
      </c>
      <c r="K35" s="4">
        <f t="shared" si="4"/>
        <v>2.8702184808016902E-2</v>
      </c>
    </row>
    <row r="36" spans="1:11" x14ac:dyDescent="0.25">
      <c r="A36" s="1" t="s">
        <v>106</v>
      </c>
      <c r="B36" s="2">
        <v>95.393000000000001</v>
      </c>
      <c r="C36" s="2">
        <v>4.7766799999999998</v>
      </c>
      <c r="D36" s="2">
        <v>1009.91</v>
      </c>
      <c r="E36" s="2">
        <v>85.575699999999998</v>
      </c>
      <c r="F36" s="2">
        <v>2408.69</v>
      </c>
      <c r="G36" s="4">
        <f t="shared" ref="G36:G67" si="5">LN(B36/B35)</f>
        <v>-0.17233401077764751</v>
      </c>
      <c r="H36" s="4">
        <f t="shared" ref="H36:H67" si="6">LN(C36/C35)</f>
        <v>-1.201128155031185E-2</v>
      </c>
      <c r="I36" s="4">
        <f t="shared" ref="I36:I67" si="7">LN(D36/D35)</f>
        <v>2.9502858227130935E-2</v>
      </c>
      <c r="J36" s="4">
        <f t="shared" si="3"/>
        <v>-3.8686076200924058E-3</v>
      </c>
      <c r="K36" s="4">
        <f t="shared" si="4"/>
        <v>-4.7118426731731451E-2</v>
      </c>
    </row>
    <row r="37" spans="1:11" x14ac:dyDescent="0.25">
      <c r="A37" s="1" t="s">
        <v>107</v>
      </c>
      <c r="B37" s="2">
        <v>91.159300000000002</v>
      </c>
      <c r="C37" s="2">
        <v>4.6986699999999999</v>
      </c>
      <c r="D37" s="2">
        <v>1063</v>
      </c>
      <c r="E37" s="2">
        <v>85.497299999999996</v>
      </c>
      <c r="F37" s="2">
        <v>2461.21</v>
      </c>
      <c r="G37" s="4">
        <f t="shared" si="5"/>
        <v>-4.5396674958582829E-2</v>
      </c>
      <c r="H37" s="4">
        <f t="shared" si="6"/>
        <v>-1.6466254568325116E-2</v>
      </c>
      <c r="I37" s="4">
        <f t="shared" si="7"/>
        <v>5.1233881387968722E-2</v>
      </c>
      <c r="J37" s="4">
        <f t="shared" si="3"/>
        <v>-9.1656784517290949E-4</v>
      </c>
      <c r="K37" s="4">
        <f t="shared" si="4"/>
        <v>2.157006768367634E-2</v>
      </c>
    </row>
    <row r="38" spans="1:11" x14ac:dyDescent="0.25">
      <c r="A38" s="1" t="s">
        <v>108</v>
      </c>
      <c r="B38" s="2">
        <v>109.02</v>
      </c>
      <c r="C38" s="2">
        <v>4.7496999999999998</v>
      </c>
      <c r="D38" s="2">
        <v>1031.0999999999999</v>
      </c>
      <c r="E38" s="2">
        <v>86.793400000000005</v>
      </c>
      <c r="F38" s="2">
        <v>2553.81</v>
      </c>
      <c r="G38" s="4">
        <f t="shared" si="5"/>
        <v>0.17892282609462748</v>
      </c>
      <c r="H38" s="4">
        <f t="shared" si="6"/>
        <v>1.0801968210694336E-2</v>
      </c>
      <c r="I38" s="4">
        <f t="shared" si="7"/>
        <v>-3.0468905818050118E-2</v>
      </c>
      <c r="J38" s="4">
        <f t="shared" si="3"/>
        <v>1.5045785412275468E-2</v>
      </c>
      <c r="K38" s="4">
        <f t="shared" si="4"/>
        <v>3.6933262799579494E-2</v>
      </c>
    </row>
    <row r="39" spans="1:11" x14ac:dyDescent="0.25">
      <c r="A39" s="1" t="s">
        <v>109</v>
      </c>
      <c r="B39" s="2">
        <v>100.559</v>
      </c>
      <c r="C39" s="2">
        <v>4.7113899999999997</v>
      </c>
      <c r="D39" s="2">
        <v>1043.6199999999999</v>
      </c>
      <c r="E39" s="2">
        <v>86.919899999999998</v>
      </c>
      <c r="F39" s="2">
        <v>2364.3200000000002</v>
      </c>
      <c r="G39" s="4">
        <f t="shared" si="5"/>
        <v>-8.0786731715441401E-2</v>
      </c>
      <c r="H39" s="4">
        <f t="shared" si="6"/>
        <v>-8.0984768945080755E-3</v>
      </c>
      <c r="I39" s="4">
        <f t="shared" si="7"/>
        <v>1.2069244985856421E-2</v>
      </c>
      <c r="J39" s="4">
        <f t="shared" si="3"/>
        <v>1.456422995368057E-3</v>
      </c>
      <c r="K39" s="4">
        <f t="shared" si="4"/>
        <v>-7.7095907561007274E-2</v>
      </c>
    </row>
    <row r="40" spans="1:11" x14ac:dyDescent="0.25">
      <c r="A40" s="1" t="s">
        <v>110</v>
      </c>
      <c r="B40" s="2">
        <v>102.81399999999999</v>
      </c>
      <c r="C40" s="2">
        <v>4.79908</v>
      </c>
      <c r="D40" s="2">
        <v>949.85</v>
      </c>
      <c r="E40" s="2">
        <v>82.380600000000001</v>
      </c>
      <c r="F40" s="2">
        <v>2210.38</v>
      </c>
      <c r="G40" s="4">
        <f t="shared" si="5"/>
        <v>2.2176910598222903E-2</v>
      </c>
      <c r="H40" s="4">
        <f t="shared" si="6"/>
        <v>1.8441251614014553E-2</v>
      </c>
      <c r="I40" s="4">
        <f t="shared" si="7"/>
        <v>-9.4146640118696071E-2</v>
      </c>
      <c r="J40" s="4">
        <f t="shared" si="3"/>
        <v>-5.3637032601758221E-2</v>
      </c>
      <c r="K40" s="4">
        <f t="shared" si="4"/>
        <v>-6.7326007723135628E-2</v>
      </c>
    </row>
    <row r="41" spans="1:11" x14ac:dyDescent="0.25">
      <c r="A41" s="1" t="s">
        <v>111</v>
      </c>
      <c r="B41" s="2">
        <v>117.279</v>
      </c>
      <c r="C41" s="2">
        <v>4.8317699999999997</v>
      </c>
      <c r="D41" s="2">
        <v>967.35</v>
      </c>
      <c r="E41" s="2">
        <v>86.073300000000003</v>
      </c>
      <c r="F41" s="2">
        <v>2291.87</v>
      </c>
      <c r="G41" s="4">
        <f t="shared" si="5"/>
        <v>0.13163418098007201</v>
      </c>
      <c r="H41" s="4">
        <f t="shared" si="6"/>
        <v>6.7886272851052859E-3</v>
      </c>
      <c r="I41" s="4">
        <f t="shared" si="7"/>
        <v>1.8256296733437847E-2</v>
      </c>
      <c r="J41" s="4">
        <f t="shared" si="3"/>
        <v>4.3849286509110144E-2</v>
      </c>
      <c r="K41" s="4">
        <f t="shared" si="4"/>
        <v>3.6203631771169593E-2</v>
      </c>
    </row>
    <row r="42" spans="1:11" x14ac:dyDescent="0.25">
      <c r="A42" s="1" t="s">
        <v>112</v>
      </c>
      <c r="B42" s="2">
        <v>138.34</v>
      </c>
      <c r="C42" s="2">
        <v>4.9067600000000002</v>
      </c>
      <c r="D42" s="2">
        <v>989.72</v>
      </c>
      <c r="E42" s="2">
        <v>92.997799999999998</v>
      </c>
      <c r="F42" s="2">
        <v>2157.0700000000002</v>
      </c>
      <c r="G42" s="4">
        <f t="shared" si="5"/>
        <v>0.1651587116734505</v>
      </c>
      <c r="H42" s="4">
        <f t="shared" si="6"/>
        <v>1.5400986028959094E-2</v>
      </c>
      <c r="I42" s="4">
        <f t="shared" si="7"/>
        <v>2.2861700717849508E-2</v>
      </c>
      <c r="J42" s="4">
        <f t="shared" si="3"/>
        <v>7.7376578147755809E-2</v>
      </c>
      <c r="K42" s="4">
        <f t="shared" si="4"/>
        <v>-6.061725886047515E-2</v>
      </c>
    </row>
    <row r="43" spans="1:11" x14ac:dyDescent="0.25">
      <c r="A43" s="1" t="s">
        <v>113</v>
      </c>
      <c r="B43" s="2">
        <v>152.05799999999999</v>
      </c>
      <c r="C43" s="2">
        <v>4.9441499999999996</v>
      </c>
      <c r="D43" s="2">
        <v>952.08</v>
      </c>
      <c r="E43" s="2">
        <v>95.252600000000001</v>
      </c>
      <c r="F43" s="2">
        <v>2135.4699999999998</v>
      </c>
      <c r="G43" s="4">
        <f t="shared" si="5"/>
        <v>9.4547603838473923E-2</v>
      </c>
      <c r="H43" s="4">
        <f t="shared" si="6"/>
        <v>7.5912133101323333E-3</v>
      </c>
      <c r="I43" s="4">
        <f t="shared" si="7"/>
        <v>-3.8773009968161187E-2</v>
      </c>
      <c r="J43" s="4">
        <f t="shared" si="3"/>
        <v>2.3956473262719883E-2</v>
      </c>
      <c r="K43" s="4">
        <f t="shared" si="4"/>
        <v>-1.0064056392303188E-2</v>
      </c>
    </row>
    <row r="44" spans="1:11" x14ac:dyDescent="0.25">
      <c r="A44" s="1" t="s">
        <v>114</v>
      </c>
      <c r="B44" s="2">
        <v>185.614</v>
      </c>
      <c r="C44" s="2">
        <v>4.7996600000000003</v>
      </c>
      <c r="D44" s="2">
        <v>934.55</v>
      </c>
      <c r="E44" s="2">
        <v>95.147999999999996</v>
      </c>
      <c r="F44" s="2">
        <v>2302.13</v>
      </c>
      <c r="G44" s="4">
        <f t="shared" si="5"/>
        <v>0.19940722153089299</v>
      </c>
      <c r="H44" s="4">
        <f t="shared" si="6"/>
        <v>-2.965997742925932E-2</v>
      </c>
      <c r="I44" s="4">
        <f t="shared" si="7"/>
        <v>-1.8583934861997605E-2</v>
      </c>
      <c r="J44" s="4">
        <f t="shared" si="3"/>
        <v>-1.0987361439296522E-3</v>
      </c>
      <c r="K44" s="4">
        <f t="shared" si="4"/>
        <v>7.514801836922276E-2</v>
      </c>
    </row>
    <row r="45" spans="1:11" x14ac:dyDescent="0.25">
      <c r="A45" s="1" t="s">
        <v>115</v>
      </c>
      <c r="B45" s="2">
        <v>193.6</v>
      </c>
      <c r="C45" s="2">
        <v>4.8049799999999996</v>
      </c>
      <c r="D45" s="2">
        <v>983.82</v>
      </c>
      <c r="E45" s="2">
        <v>100.43899999999999</v>
      </c>
      <c r="F45" s="2">
        <v>2337.96</v>
      </c>
      <c r="G45" s="4">
        <f t="shared" si="5"/>
        <v>4.2124926300671148E-2</v>
      </c>
      <c r="H45" s="4">
        <f t="shared" si="6"/>
        <v>1.1077980109748945E-3</v>
      </c>
      <c r="I45" s="4">
        <f t="shared" si="7"/>
        <v>5.1377823477645398E-2</v>
      </c>
      <c r="J45" s="4">
        <f t="shared" si="3"/>
        <v>5.4117003968807066E-2</v>
      </c>
      <c r="K45" s="4">
        <f t="shared" si="4"/>
        <v>1.5443972925993681E-2</v>
      </c>
    </row>
    <row r="46" spans="1:11" x14ac:dyDescent="0.25">
      <c r="A46" s="1" t="s">
        <v>116</v>
      </c>
      <c r="B46" s="2">
        <v>176.02500000000001</v>
      </c>
      <c r="C46" s="2">
        <v>4.8055099999999999</v>
      </c>
      <c r="D46" s="2">
        <v>1076.21</v>
      </c>
      <c r="E46" s="2">
        <v>100.276</v>
      </c>
      <c r="F46" s="2">
        <v>2285.11</v>
      </c>
      <c r="G46" s="4">
        <f t="shared" si="5"/>
        <v>-9.5168144437279625E-2</v>
      </c>
      <c r="H46" s="4">
        <f t="shared" si="6"/>
        <v>1.1029614526157564E-4</v>
      </c>
      <c r="I46" s="4">
        <f t="shared" si="7"/>
        <v>8.9757935475485939E-2</v>
      </c>
      <c r="J46" s="4">
        <f t="shared" si="3"/>
        <v>-1.6241938652607109E-3</v>
      </c>
      <c r="K46" s="4">
        <f t="shared" si="4"/>
        <v>-2.2864591032422128E-2</v>
      </c>
    </row>
    <row r="47" spans="1:11" x14ac:dyDescent="0.25">
      <c r="A47" s="1" t="s">
        <v>117</v>
      </c>
      <c r="B47" s="2">
        <v>148.77500000000001</v>
      </c>
      <c r="C47" s="2">
        <v>4.9008000000000003</v>
      </c>
      <c r="D47" s="2">
        <v>1081.43</v>
      </c>
      <c r="E47" s="2">
        <v>96.977800000000002</v>
      </c>
      <c r="F47" s="2">
        <v>2151.88</v>
      </c>
      <c r="G47" s="4">
        <f t="shared" si="5"/>
        <v>-0.16819093287428108</v>
      </c>
      <c r="H47" s="4">
        <f t="shared" si="6"/>
        <v>1.9635280868424393E-2</v>
      </c>
      <c r="I47" s="4">
        <f t="shared" si="7"/>
        <v>4.8386294139538188E-3</v>
      </c>
      <c r="J47" s="4">
        <f t="shared" si="3"/>
        <v>-3.3444297851621847E-2</v>
      </c>
      <c r="K47" s="4">
        <f t="shared" si="4"/>
        <v>-6.007228456824612E-2</v>
      </c>
    </row>
    <row r="48" spans="1:11" x14ac:dyDescent="0.25">
      <c r="A48" s="1" t="s">
        <v>118</v>
      </c>
      <c r="B48" s="2">
        <v>133.63800000000001</v>
      </c>
      <c r="C48" s="2">
        <v>4.8323499999999999</v>
      </c>
      <c r="D48" s="2">
        <v>1181.27</v>
      </c>
      <c r="E48" s="2">
        <v>97.179900000000004</v>
      </c>
      <c r="F48" s="2">
        <v>2291.08</v>
      </c>
      <c r="G48" s="4">
        <f t="shared" si="5"/>
        <v>-0.10730044573351323</v>
      </c>
      <c r="H48" s="4">
        <f t="shared" si="6"/>
        <v>-1.4065565312224771E-2</v>
      </c>
      <c r="I48" s="4">
        <f t="shared" si="7"/>
        <v>8.8305891502280562E-2</v>
      </c>
      <c r="J48" s="4">
        <f t="shared" si="3"/>
        <v>2.0818136287244844E-3</v>
      </c>
      <c r="K48" s="4">
        <f t="shared" si="4"/>
        <v>6.2681443447940924E-2</v>
      </c>
    </row>
    <row r="49" spans="1:11" x14ac:dyDescent="0.25">
      <c r="A49" s="1" t="s">
        <v>119</v>
      </c>
      <c r="B49" s="2">
        <v>136.83500000000001</v>
      </c>
      <c r="C49" s="2">
        <v>4.7713799999999997</v>
      </c>
      <c r="D49" s="2">
        <v>1261.79</v>
      </c>
      <c r="E49" s="2">
        <v>87.7089</v>
      </c>
      <c r="F49" s="2">
        <v>2276.63</v>
      </c>
      <c r="G49" s="4">
        <f t="shared" si="5"/>
        <v>2.3641168620757873E-2</v>
      </c>
      <c r="H49" s="4">
        <f t="shared" si="6"/>
        <v>-1.2697320549339147E-2</v>
      </c>
      <c r="I49" s="4">
        <f t="shared" si="7"/>
        <v>6.5941216837510447E-2</v>
      </c>
      <c r="J49" s="4">
        <f t="shared" si="3"/>
        <v>-0.10254052340364476</v>
      </c>
      <c r="K49" s="4">
        <f t="shared" si="4"/>
        <v>-6.3270427433131131E-3</v>
      </c>
    </row>
    <row r="50" spans="1:11" x14ac:dyDescent="0.25">
      <c r="A50" s="1" t="s">
        <v>120</v>
      </c>
      <c r="B50" s="2">
        <v>178.56200000000001</v>
      </c>
      <c r="C50" s="2">
        <v>4.88117</v>
      </c>
      <c r="D50" s="2">
        <v>1343.8</v>
      </c>
      <c r="E50" s="2">
        <v>94.397400000000005</v>
      </c>
      <c r="F50" s="2">
        <v>2380.11</v>
      </c>
      <c r="G50" s="4">
        <f t="shared" si="5"/>
        <v>0.26616005942890414</v>
      </c>
      <c r="H50" s="4">
        <f t="shared" si="6"/>
        <v>2.274937399218567E-2</v>
      </c>
      <c r="I50" s="4">
        <f t="shared" si="7"/>
        <v>6.2970073766986809E-2</v>
      </c>
      <c r="J50" s="4">
        <f t="shared" si="3"/>
        <v>7.3490153844009462E-2</v>
      </c>
      <c r="K50" s="4">
        <f t="shared" si="4"/>
        <v>4.4450425735118169E-2</v>
      </c>
    </row>
    <row r="51" spans="1:11" x14ac:dyDescent="0.25">
      <c r="A51" s="1" t="s">
        <v>121</v>
      </c>
      <c r="B51" s="2">
        <v>178.648</v>
      </c>
      <c r="C51" s="2">
        <v>5.0198900000000002</v>
      </c>
      <c r="D51" s="2">
        <v>1546.91</v>
      </c>
      <c r="E51" s="2">
        <v>98.876400000000004</v>
      </c>
      <c r="F51" s="2">
        <v>2332.23</v>
      </c>
      <c r="G51" s="4">
        <f t="shared" si="5"/>
        <v>4.8150948552154818E-4</v>
      </c>
      <c r="H51" s="4">
        <f t="shared" si="6"/>
        <v>2.802307588596565E-2</v>
      </c>
      <c r="I51" s="4">
        <f t="shared" si="7"/>
        <v>0.14075797127766182</v>
      </c>
      <c r="J51" s="4">
        <f t="shared" si="3"/>
        <v>4.6357054880335945E-2</v>
      </c>
      <c r="K51" s="4">
        <f t="shared" si="4"/>
        <v>-2.0321813690584414E-2</v>
      </c>
    </row>
    <row r="52" spans="1:11" x14ac:dyDescent="0.25">
      <c r="A52" s="1" t="s">
        <v>122</v>
      </c>
      <c r="B52" s="2">
        <v>187.964</v>
      </c>
      <c r="C52" s="2">
        <v>5.00176</v>
      </c>
      <c r="D52" s="2">
        <v>1381.38</v>
      </c>
      <c r="E52" s="2">
        <v>101.474</v>
      </c>
      <c r="F52" s="2">
        <v>2312.09</v>
      </c>
      <c r="G52" s="4">
        <f t="shared" si="5"/>
        <v>5.0833065799232198E-2</v>
      </c>
      <c r="H52" s="4">
        <f t="shared" si="6"/>
        <v>-3.6181706163266303E-3</v>
      </c>
      <c r="I52" s="4">
        <f t="shared" si="7"/>
        <v>-0.11317639327937747</v>
      </c>
      <c r="J52" s="4">
        <f t="shared" si="3"/>
        <v>2.5932022752791661E-2</v>
      </c>
      <c r="K52" s="4">
        <f t="shared" si="4"/>
        <v>-8.6730140240303729E-3</v>
      </c>
    </row>
    <row r="53" spans="1:11" x14ac:dyDescent="0.25">
      <c r="A53" s="1" t="s">
        <v>123</v>
      </c>
      <c r="B53" s="2">
        <v>201.965</v>
      </c>
      <c r="C53" s="2">
        <v>4.9825900000000001</v>
      </c>
      <c r="D53" s="2">
        <v>1389.68</v>
      </c>
      <c r="E53" s="2">
        <v>105.08</v>
      </c>
      <c r="F53" s="2">
        <v>2334.21</v>
      </c>
      <c r="G53" s="4">
        <f t="shared" si="5"/>
        <v>7.18439599301363E-2</v>
      </c>
      <c r="H53" s="4">
        <f t="shared" si="6"/>
        <v>-3.8400143336854392E-3</v>
      </c>
      <c r="I53" s="4">
        <f t="shared" si="7"/>
        <v>5.9905053093339353E-3</v>
      </c>
      <c r="J53" s="4">
        <f t="shared" si="3"/>
        <v>3.4919356784935879E-2</v>
      </c>
      <c r="K53" s="4">
        <f t="shared" si="4"/>
        <v>9.5216267218572893E-3</v>
      </c>
    </row>
    <row r="54" spans="1:11" x14ac:dyDescent="0.25">
      <c r="A54" s="1" t="s">
        <v>124</v>
      </c>
      <c r="B54" s="2">
        <v>196.22200000000001</v>
      </c>
      <c r="C54" s="2">
        <v>4.8453999999999997</v>
      </c>
      <c r="D54" s="2">
        <v>1325.65</v>
      </c>
      <c r="E54" s="2">
        <v>99.872500000000002</v>
      </c>
      <c r="F54" s="2">
        <v>2239.31</v>
      </c>
      <c r="G54" s="4">
        <f t="shared" si="5"/>
        <v>-2.8847743737741231E-2</v>
      </c>
      <c r="H54" s="4">
        <f t="shared" si="6"/>
        <v>-2.7920034888529094E-2</v>
      </c>
      <c r="I54" s="4">
        <f t="shared" si="7"/>
        <v>-4.7170599623790214E-2</v>
      </c>
      <c r="J54" s="4">
        <f t="shared" si="3"/>
        <v>-5.0827592333299636E-2</v>
      </c>
      <c r="K54" s="4">
        <f t="shared" si="4"/>
        <v>-4.1505721410062306E-2</v>
      </c>
    </row>
    <row r="55" spans="1:11" x14ac:dyDescent="0.25">
      <c r="A55" s="1" t="s">
        <v>125</v>
      </c>
      <c r="B55" s="2">
        <v>203.30600000000001</v>
      </c>
      <c r="C55" s="2">
        <v>4.7412000000000001</v>
      </c>
      <c r="D55" s="2">
        <v>1541.02</v>
      </c>
      <c r="E55" s="2">
        <v>103.075</v>
      </c>
      <c r="F55" s="2">
        <v>2327.67</v>
      </c>
      <c r="G55" s="4">
        <f t="shared" si="5"/>
        <v>3.5465561909510328E-2</v>
      </c>
      <c r="H55" s="4">
        <f t="shared" si="6"/>
        <v>-2.1739533051211766E-2</v>
      </c>
      <c r="I55" s="4">
        <f t="shared" si="7"/>
        <v>0.15054162965135112</v>
      </c>
      <c r="J55" s="4">
        <f t="shared" si="3"/>
        <v>3.1562506108924263E-2</v>
      </c>
      <c r="K55" s="4">
        <f t="shared" si="4"/>
        <v>3.8699984544108619E-2</v>
      </c>
    </row>
    <row r="56" spans="1:11" x14ac:dyDescent="0.25">
      <c r="A56" s="1" t="s">
        <v>126</v>
      </c>
      <c r="B56" s="2">
        <v>217.18700000000001</v>
      </c>
      <c r="C56" s="2">
        <v>4.7094199999999997</v>
      </c>
      <c r="D56" s="2">
        <v>1519.73</v>
      </c>
      <c r="E56" s="2">
        <v>109.42100000000001</v>
      </c>
      <c r="F56" s="2">
        <v>2277.37</v>
      </c>
      <c r="G56" s="4">
        <f t="shared" si="5"/>
        <v>6.6046500364464203E-2</v>
      </c>
      <c r="H56" s="4">
        <f t="shared" si="6"/>
        <v>-6.725510028042273E-3</v>
      </c>
      <c r="I56" s="4">
        <f t="shared" si="7"/>
        <v>-1.3911847338211495E-2</v>
      </c>
      <c r="J56" s="4">
        <f t="shared" si="3"/>
        <v>5.9745949098012008E-2</v>
      </c>
      <c r="K56" s="4">
        <f t="shared" si="4"/>
        <v>-2.1846498852905478E-2</v>
      </c>
    </row>
    <row r="57" spans="1:11" x14ac:dyDescent="0.25">
      <c r="A57" s="1" t="s">
        <v>127</v>
      </c>
      <c r="B57" s="2">
        <v>238.91</v>
      </c>
      <c r="C57" s="2">
        <v>4.8428199999999997</v>
      </c>
      <c r="D57" s="2">
        <v>1530.1</v>
      </c>
      <c r="E57" s="2">
        <v>110.419</v>
      </c>
      <c r="F57" s="2">
        <v>2135.25</v>
      </c>
      <c r="G57" s="4">
        <f t="shared" si="5"/>
        <v>9.5328178375741063E-2</v>
      </c>
      <c r="H57" s="4">
        <f t="shared" si="6"/>
        <v>2.793243748999431E-2</v>
      </c>
      <c r="I57" s="4">
        <f t="shared" si="7"/>
        <v>6.8004052447504532E-3</v>
      </c>
      <c r="J57" s="4">
        <f t="shared" si="3"/>
        <v>9.0793927935388617E-3</v>
      </c>
      <c r="K57" s="4">
        <f t="shared" si="4"/>
        <v>-6.4437532547000562E-2</v>
      </c>
    </row>
    <row r="58" spans="1:11" x14ac:dyDescent="0.25">
      <c r="A58" s="1" t="s">
        <v>128</v>
      </c>
      <c r="B58" s="2">
        <v>229.84700000000001</v>
      </c>
      <c r="C58" s="2">
        <v>4.9297599999999999</v>
      </c>
      <c r="D58" s="2">
        <v>1676.48</v>
      </c>
      <c r="E58" s="2">
        <v>112.834</v>
      </c>
      <c r="F58" s="2">
        <v>2173.29</v>
      </c>
      <c r="G58" s="4">
        <f t="shared" si="5"/>
        <v>-3.8673041797298427E-2</v>
      </c>
      <c r="H58" s="4">
        <f t="shared" si="6"/>
        <v>1.7793109642871546E-2</v>
      </c>
      <c r="I58" s="4">
        <f t="shared" si="7"/>
        <v>9.1363264492087287E-2</v>
      </c>
      <c r="J58" s="4">
        <f t="shared" si="3"/>
        <v>2.1635491601748377E-2</v>
      </c>
      <c r="K58" s="4">
        <f t="shared" si="4"/>
        <v>1.7658412577248008E-2</v>
      </c>
    </row>
    <row r="59" spans="1:11" x14ac:dyDescent="0.25">
      <c r="A59" s="1" t="s">
        <v>129</v>
      </c>
      <c r="B59" s="2">
        <v>238.05600000000001</v>
      </c>
      <c r="C59" s="2">
        <v>4.9434100000000001</v>
      </c>
      <c r="D59" s="2">
        <v>1796.2</v>
      </c>
      <c r="E59" s="2">
        <v>109.7</v>
      </c>
      <c r="F59" s="2">
        <v>2194.1</v>
      </c>
      <c r="G59" s="4">
        <f t="shared" si="5"/>
        <v>3.5092069935171881E-2</v>
      </c>
      <c r="H59" s="4">
        <f t="shared" si="6"/>
        <v>2.7650711366034989E-3</v>
      </c>
      <c r="I59" s="4">
        <f t="shared" si="7"/>
        <v>6.8976965016994463E-2</v>
      </c>
      <c r="J59" s="4">
        <f t="shared" si="3"/>
        <v>-2.8168344805078609E-2</v>
      </c>
      <c r="K59" s="4">
        <f t="shared" si="4"/>
        <v>9.5297912443995485E-3</v>
      </c>
    </row>
    <row r="60" spans="1:11" x14ac:dyDescent="0.25">
      <c r="A60" s="1" t="s">
        <v>130</v>
      </c>
      <c r="B60" s="2">
        <v>247.87700000000001</v>
      </c>
      <c r="C60" s="2">
        <v>5.0653800000000002</v>
      </c>
      <c r="D60" s="2">
        <v>1841.67</v>
      </c>
      <c r="E60" s="2">
        <v>116.976</v>
      </c>
      <c r="F60" s="2">
        <v>2158.94</v>
      </c>
      <c r="G60" s="4">
        <f t="shared" si="5"/>
        <v>4.0426715278562085E-2</v>
      </c>
      <c r="H60" s="4">
        <f t="shared" si="6"/>
        <v>2.4373783100971585E-2</v>
      </c>
      <c r="I60" s="4">
        <f t="shared" si="7"/>
        <v>2.4999446434107772E-2</v>
      </c>
      <c r="J60" s="4">
        <f t="shared" si="3"/>
        <v>6.4219418269775494E-2</v>
      </c>
      <c r="K60" s="4">
        <f t="shared" si="4"/>
        <v>-1.6154579163080475E-2</v>
      </c>
    </row>
    <row r="61" spans="1:11" x14ac:dyDescent="0.25">
      <c r="A61" s="1" t="s">
        <v>131</v>
      </c>
      <c r="B61" s="2">
        <v>263.92599999999999</v>
      </c>
      <c r="C61" s="2">
        <v>5.03043</v>
      </c>
      <c r="D61" s="2">
        <v>1945.8</v>
      </c>
      <c r="E61" s="2">
        <v>116.42100000000001</v>
      </c>
      <c r="F61" s="2">
        <v>2150.09</v>
      </c>
      <c r="G61" s="4">
        <f t="shared" si="5"/>
        <v>6.2736105433411557E-2</v>
      </c>
      <c r="H61" s="4">
        <f t="shared" si="6"/>
        <v>-6.9236920302363754E-3</v>
      </c>
      <c r="I61" s="4">
        <f t="shared" si="7"/>
        <v>5.5000434870370159E-2</v>
      </c>
      <c r="J61" s="4">
        <f t="shared" si="3"/>
        <v>-4.755854154843326E-3</v>
      </c>
      <c r="K61" s="4">
        <f t="shared" si="4"/>
        <v>-4.1076587741237383E-3</v>
      </c>
    </row>
    <row r="62" spans="1:11" x14ac:dyDescent="0.25">
      <c r="A62" s="1" t="s">
        <v>132</v>
      </c>
      <c r="B62" s="2">
        <v>265.91800000000001</v>
      </c>
      <c r="C62" s="2">
        <v>5.1159499999999998</v>
      </c>
      <c r="D62" s="2">
        <v>2288.9499999999998</v>
      </c>
      <c r="E62" s="2">
        <v>119.88</v>
      </c>
      <c r="F62" s="2">
        <v>2065.9</v>
      </c>
      <c r="G62" s="4">
        <f t="shared" si="5"/>
        <v>7.5192297560588584E-3</v>
      </c>
      <c r="H62" s="4">
        <f t="shared" si="6"/>
        <v>1.6857642873107322E-2</v>
      </c>
      <c r="I62" s="4">
        <f t="shared" si="7"/>
        <v>0.16241999357283912</v>
      </c>
      <c r="J62" s="4">
        <f t="shared" si="3"/>
        <v>2.9278311052345515E-2</v>
      </c>
      <c r="K62" s="4">
        <f t="shared" si="4"/>
        <v>-3.9943734913116917E-2</v>
      </c>
    </row>
    <row r="63" spans="1:11" x14ac:dyDescent="0.25">
      <c r="A63" s="1" t="s">
        <v>133</v>
      </c>
      <c r="B63" s="2">
        <v>262.98399999999998</v>
      </c>
      <c r="C63" s="2">
        <v>5.0285599999999997</v>
      </c>
      <c r="D63" s="2">
        <v>2591.54</v>
      </c>
      <c r="E63" s="2">
        <v>108.721</v>
      </c>
      <c r="F63" s="2">
        <v>1768.91</v>
      </c>
      <c r="G63" s="4">
        <f t="shared" si="5"/>
        <v>-1.1094796754586642E-2</v>
      </c>
      <c r="H63" s="4">
        <f t="shared" si="6"/>
        <v>-1.7229449589595311E-2</v>
      </c>
      <c r="I63" s="4">
        <f t="shared" si="7"/>
        <v>0.12415909647268585</v>
      </c>
      <c r="J63" s="4">
        <f t="shared" si="3"/>
        <v>-9.77062747082134E-2</v>
      </c>
      <c r="K63" s="4">
        <f t="shared" si="4"/>
        <v>-0.15520242913327922</v>
      </c>
    </row>
    <row r="64" spans="1:11" x14ac:dyDescent="0.25">
      <c r="A64" s="1" t="s">
        <v>134</v>
      </c>
      <c r="B64" s="2">
        <v>273</v>
      </c>
      <c r="C64" s="2">
        <v>5.13727</v>
      </c>
      <c r="D64" s="2">
        <v>2357.8000000000002</v>
      </c>
      <c r="E64" s="2">
        <v>103.536</v>
      </c>
      <c r="F64" s="2">
        <v>1512.84</v>
      </c>
      <c r="G64" s="4">
        <f t="shared" si="5"/>
        <v>3.7378601359711418E-2</v>
      </c>
      <c r="H64" s="4">
        <f t="shared" si="6"/>
        <v>2.1388149144867561E-2</v>
      </c>
      <c r="I64" s="4">
        <f t="shared" si="7"/>
        <v>-9.4523312728825221E-2</v>
      </c>
      <c r="J64" s="4">
        <f t="shared" si="3"/>
        <v>-4.8865589425338765E-2</v>
      </c>
      <c r="K64" s="4">
        <f>LN(F64/F63)</f>
        <v>-0.15637485863312556</v>
      </c>
    </row>
    <row r="65" spans="1:11" x14ac:dyDescent="0.25">
      <c r="A65" s="1" t="s">
        <v>135</v>
      </c>
      <c r="B65" s="2">
        <v>337.68200000000002</v>
      </c>
      <c r="C65" s="2">
        <v>5.2273300000000003</v>
      </c>
      <c r="D65" s="2">
        <v>1975.5</v>
      </c>
      <c r="E65" s="2">
        <v>115.959</v>
      </c>
      <c r="F65" s="2">
        <v>1648.68</v>
      </c>
      <c r="G65" s="4">
        <f t="shared" si="5"/>
        <v>0.21263282903886083</v>
      </c>
      <c r="H65" s="4">
        <f t="shared" si="6"/>
        <v>1.7378821502901008E-2</v>
      </c>
      <c r="I65" s="4">
        <f t="shared" si="7"/>
        <v>-0.17690745000658176</v>
      </c>
      <c r="J65" s="4">
        <f t="shared" si="3"/>
        <v>0.11331730203802831</v>
      </c>
      <c r="K65" s="4">
        <f t="shared" si="4"/>
        <v>8.5986288692678908E-2</v>
      </c>
    </row>
    <row r="66" spans="1:11" x14ac:dyDescent="0.25">
      <c r="A66" s="1" t="s">
        <v>136</v>
      </c>
      <c r="B66" s="2">
        <v>381.30200000000002</v>
      </c>
      <c r="C66" s="2">
        <v>4.9492200000000004</v>
      </c>
      <c r="D66" s="2">
        <v>1938</v>
      </c>
      <c r="E66" s="2">
        <v>115.404</v>
      </c>
      <c r="F66" s="2">
        <v>1722.65</v>
      </c>
      <c r="G66" s="4">
        <f t="shared" si="5"/>
        <v>0.12148708783968391</v>
      </c>
      <c r="H66" s="4">
        <f t="shared" si="6"/>
        <v>-5.4670643059991975E-2</v>
      </c>
      <c r="I66" s="4">
        <f t="shared" si="7"/>
        <v>-1.91650174007339E-2</v>
      </c>
      <c r="J66" s="4">
        <f t="shared" si="3"/>
        <v>-4.7976648345935515E-3</v>
      </c>
      <c r="K66" s="4">
        <f t="shared" si="4"/>
        <v>4.3888835101067863E-2</v>
      </c>
    </row>
    <row r="67" spans="1:11" x14ac:dyDescent="0.25">
      <c r="A67" s="1" t="s">
        <v>137</v>
      </c>
      <c r="B67" s="2">
        <v>372.899</v>
      </c>
      <c r="C67" s="2">
        <v>4.9086999999999996</v>
      </c>
      <c r="D67" s="2">
        <v>1941.92</v>
      </c>
      <c r="E67" s="2">
        <v>116.544</v>
      </c>
      <c r="F67" s="2">
        <v>1758.82</v>
      </c>
      <c r="G67" s="4">
        <f t="shared" si="5"/>
        <v>-2.2284106566422671E-2</v>
      </c>
      <c r="H67" s="4">
        <f t="shared" si="6"/>
        <v>-8.2208474409922964E-3</v>
      </c>
      <c r="I67" s="4">
        <f t="shared" si="7"/>
        <v>2.0206609073399112E-3</v>
      </c>
      <c r="J67" s="4">
        <f t="shared" si="3"/>
        <v>9.8298685867977444E-3</v>
      </c>
      <c r="K67" s="4">
        <f t="shared" si="4"/>
        <v>2.0779326806659983E-2</v>
      </c>
    </row>
    <row r="68" spans="1:11" x14ac:dyDescent="0.25">
      <c r="A68" s="1" t="s">
        <v>138</v>
      </c>
      <c r="B68" s="2">
        <v>379.60199999999998</v>
      </c>
      <c r="C68" s="2">
        <v>4.9026899999999998</v>
      </c>
      <c r="D68" s="2">
        <v>2092.04</v>
      </c>
      <c r="E68" s="2">
        <v>116.411</v>
      </c>
      <c r="F68" s="2">
        <v>1767.54</v>
      </c>
      <c r="G68" s="4">
        <f t="shared" ref="G68:G99" si="8">LN(B68/B67)</f>
        <v>1.7815729928710146E-2</v>
      </c>
      <c r="H68" s="4">
        <f t="shared" ref="H68:H99" si="9">LN(C68/C67)</f>
        <v>-1.2251068914178017E-3</v>
      </c>
      <c r="I68" s="4">
        <f t="shared" ref="I68:I99" si="10">LN(D68/D67)</f>
        <v>7.4462492102859532E-2</v>
      </c>
      <c r="J68" s="4">
        <f t="shared" ref="J68:J131" si="11">LN(E68/E67)</f>
        <v>-1.141851554598342E-3</v>
      </c>
      <c r="K68" s="4">
        <f t="shared" ref="K68:K131" si="12">LN(F68/F67)</f>
        <v>4.9456197175811768E-3</v>
      </c>
    </row>
    <row r="69" spans="1:11" x14ac:dyDescent="0.25">
      <c r="A69" s="1" t="s">
        <v>139</v>
      </c>
      <c r="B69" s="2">
        <v>414.07100000000003</v>
      </c>
      <c r="C69" s="2">
        <v>4.9231999999999996</v>
      </c>
      <c r="D69" s="2">
        <v>2248.06</v>
      </c>
      <c r="E69" s="2">
        <v>124.06</v>
      </c>
      <c r="F69" s="2">
        <v>1800.21</v>
      </c>
      <c r="G69" s="4">
        <f t="shared" si="8"/>
        <v>8.6914121280033826E-2</v>
      </c>
      <c r="H69" s="4">
        <f t="shared" si="9"/>
        <v>4.1746915113911442E-3</v>
      </c>
      <c r="I69" s="4">
        <f t="shared" si="10"/>
        <v>7.1927955587947748E-2</v>
      </c>
      <c r="J69" s="4">
        <f t="shared" si="11"/>
        <v>6.3638286994426946E-2</v>
      </c>
      <c r="K69" s="4">
        <f t="shared" si="12"/>
        <v>1.8314575396730218E-2</v>
      </c>
    </row>
    <row r="70" spans="1:11" x14ac:dyDescent="0.25">
      <c r="A70" s="1" t="s">
        <v>140</v>
      </c>
      <c r="B70" s="2">
        <v>395.09699999999998</v>
      </c>
      <c r="C70" s="2">
        <v>4.9912099999999997</v>
      </c>
      <c r="D70" s="2">
        <v>2310.7800000000002</v>
      </c>
      <c r="E70" s="2">
        <v>125.68899999999999</v>
      </c>
      <c r="F70" s="2">
        <v>1712.73</v>
      </c>
      <c r="G70" s="4">
        <f t="shared" si="8"/>
        <v>-4.6906152331734639E-2</v>
      </c>
      <c r="H70" s="4">
        <f t="shared" si="9"/>
        <v>1.3719639752998326E-2</v>
      </c>
      <c r="I70" s="4">
        <f t="shared" si="10"/>
        <v>2.7517507809545552E-2</v>
      </c>
      <c r="J70" s="4">
        <f t="shared" si="11"/>
        <v>1.3045282277699709E-2</v>
      </c>
      <c r="K70" s="4">
        <f t="shared" si="12"/>
        <v>-4.9814736058492827E-2</v>
      </c>
    </row>
    <row r="71" spans="1:11" x14ac:dyDescent="0.25">
      <c r="A71" s="1" t="s">
        <v>141</v>
      </c>
      <c r="B71" s="2">
        <v>316.71699999999998</v>
      </c>
      <c r="C71" s="2">
        <v>5.1218500000000002</v>
      </c>
      <c r="D71" s="2">
        <v>2216.89</v>
      </c>
      <c r="E71" s="2">
        <v>124.23399999999999</v>
      </c>
      <c r="F71" s="2">
        <v>1515.97</v>
      </c>
      <c r="G71" s="4">
        <f t="shared" si="8"/>
        <v>-0.22112267370998795</v>
      </c>
      <c r="H71" s="4">
        <f t="shared" si="9"/>
        <v>2.5837336574491433E-2</v>
      </c>
      <c r="I71" s="4">
        <f t="shared" si="10"/>
        <v>-4.147981707204465E-2</v>
      </c>
      <c r="J71" s="4">
        <f t="shared" si="11"/>
        <v>-1.1643717773655795E-2</v>
      </c>
      <c r="K71" s="4">
        <f t="shared" si="12"/>
        <v>-0.12203309059909562</v>
      </c>
    </row>
    <row r="72" spans="1:11" x14ac:dyDescent="0.25">
      <c r="A72" s="1" t="s">
        <v>142</v>
      </c>
      <c r="B72" s="2">
        <v>367.798</v>
      </c>
      <c r="C72" s="2">
        <v>5.00387</v>
      </c>
      <c r="D72" s="2">
        <v>2382.36</v>
      </c>
      <c r="E72" s="2">
        <v>130.886</v>
      </c>
      <c r="F72" s="2">
        <v>1830.04</v>
      </c>
      <c r="G72" s="4">
        <f t="shared" si="8"/>
        <v>0.14952524375343185</v>
      </c>
      <c r="H72" s="4">
        <f t="shared" si="9"/>
        <v>-2.3304088862557658E-2</v>
      </c>
      <c r="I72" s="4">
        <f t="shared" si="10"/>
        <v>7.1986280210628237E-2</v>
      </c>
      <c r="J72" s="4">
        <f t="shared" si="11"/>
        <v>5.21598312754218E-2</v>
      </c>
      <c r="K72" s="4">
        <f t="shared" si="12"/>
        <v>0.18828232643177495</v>
      </c>
    </row>
    <row r="73" spans="1:11" x14ac:dyDescent="0.25">
      <c r="A73" s="1" t="s">
        <v>143</v>
      </c>
      <c r="B73" s="2">
        <v>259.39800000000002</v>
      </c>
      <c r="C73" s="2">
        <v>5.1059599999999996</v>
      </c>
      <c r="D73" s="2">
        <v>2451.5</v>
      </c>
      <c r="E73" s="2">
        <v>135.488</v>
      </c>
      <c r="F73" s="2">
        <v>1983.98</v>
      </c>
      <c r="G73" s="4">
        <f t="shared" si="8"/>
        <v>-0.34917031266514575</v>
      </c>
      <c r="H73" s="4">
        <f t="shared" si="9"/>
        <v>2.0196871817156861E-2</v>
      </c>
      <c r="I73" s="4">
        <f t="shared" si="10"/>
        <v>2.8608489094300003E-2</v>
      </c>
      <c r="J73" s="4">
        <f t="shared" si="11"/>
        <v>3.4556360187962765E-2</v>
      </c>
      <c r="K73" s="4">
        <f t="shared" si="12"/>
        <v>8.0767103628763784E-2</v>
      </c>
    </row>
    <row r="74" spans="1:11" x14ac:dyDescent="0.25">
      <c r="A74" s="1" t="s">
        <v>144</v>
      </c>
      <c r="B74" s="2">
        <v>288.19400000000002</v>
      </c>
      <c r="C74" s="2">
        <v>5.1026800000000003</v>
      </c>
      <c r="D74" s="2">
        <v>2230.48</v>
      </c>
      <c r="E74" s="2">
        <v>135.82300000000001</v>
      </c>
      <c r="F74" s="2">
        <v>1948.01</v>
      </c>
      <c r="G74" s="4">
        <f t="shared" si="8"/>
        <v>0.10527030272053597</v>
      </c>
      <c r="H74" s="4">
        <f t="shared" si="9"/>
        <v>-6.4259296299329068E-4</v>
      </c>
      <c r="I74" s="4">
        <f t="shared" si="10"/>
        <v>-9.4483273162585799E-2</v>
      </c>
      <c r="J74" s="4">
        <f t="shared" si="11"/>
        <v>2.4694919870314048E-3</v>
      </c>
      <c r="K74" s="4">
        <f t="shared" si="12"/>
        <v>-1.8296589489316662E-2</v>
      </c>
    </row>
    <row r="75" spans="1:11" x14ac:dyDescent="0.25">
      <c r="A75" s="1" t="s">
        <v>145</v>
      </c>
      <c r="B75" s="2">
        <v>223.42400000000001</v>
      </c>
      <c r="C75" s="2">
        <v>5.2193399999999999</v>
      </c>
      <c r="D75" s="2">
        <v>2323.4499999999998</v>
      </c>
      <c r="E75" s="2">
        <v>138.488</v>
      </c>
      <c r="F75" s="2">
        <v>1907.28</v>
      </c>
      <c r="G75" s="4">
        <f t="shared" si="8"/>
        <v>-0.25456255299035446</v>
      </c>
      <c r="H75" s="4">
        <f t="shared" si="9"/>
        <v>2.2605065214398389E-2</v>
      </c>
      <c r="I75" s="4">
        <f t="shared" si="10"/>
        <v>4.08363411050508E-2</v>
      </c>
      <c r="J75" s="4">
        <f t="shared" si="11"/>
        <v>1.943111177499706E-2</v>
      </c>
      <c r="K75" s="4">
        <f t="shared" si="12"/>
        <v>-2.1130195359496479E-2</v>
      </c>
    </row>
    <row r="76" spans="1:11" x14ac:dyDescent="0.25">
      <c r="A76" s="1" t="s">
        <v>146</v>
      </c>
      <c r="B76" s="2">
        <v>179.892</v>
      </c>
      <c r="C76" s="2">
        <v>5.4439799999999998</v>
      </c>
      <c r="D76" s="2">
        <v>2627.14</v>
      </c>
      <c r="E76" s="2">
        <v>152.84800000000001</v>
      </c>
      <c r="F76" s="2">
        <v>1938.84</v>
      </c>
      <c r="G76" s="4">
        <f t="shared" si="8"/>
        <v>-0.21671464066439294</v>
      </c>
      <c r="H76" s="4">
        <f t="shared" si="9"/>
        <v>4.2139453894049557E-2</v>
      </c>
      <c r="I76" s="4">
        <f t="shared" si="10"/>
        <v>0.12284265196112901</v>
      </c>
      <c r="J76" s="4">
        <f t="shared" si="11"/>
        <v>9.8660284253224276E-2</v>
      </c>
      <c r="K76" s="4">
        <f t="shared" si="12"/>
        <v>1.6411712776705764E-2</v>
      </c>
    </row>
    <row r="77" spans="1:11" x14ac:dyDescent="0.25">
      <c r="A77" s="1" t="s">
        <v>147</v>
      </c>
      <c r="B77" s="2">
        <v>164.41499999999999</v>
      </c>
      <c r="C77" s="2">
        <v>5.2374299999999998</v>
      </c>
      <c r="D77" s="2">
        <v>2937.3</v>
      </c>
      <c r="E77" s="2">
        <v>153.68299999999999</v>
      </c>
      <c r="F77" s="2">
        <v>2037.59</v>
      </c>
      <c r="G77" s="4">
        <f t="shared" si="8"/>
        <v>-8.9962951482381578E-2</v>
      </c>
      <c r="H77" s="4">
        <f t="shared" si="9"/>
        <v>-3.8679491009373665E-2</v>
      </c>
      <c r="I77" s="4">
        <f t="shared" si="10"/>
        <v>0.11159499003325363</v>
      </c>
      <c r="J77" s="4">
        <f t="shared" si="11"/>
        <v>5.4480758248839772E-3</v>
      </c>
      <c r="K77" s="4">
        <f t="shared" si="12"/>
        <v>4.9677880841875181E-2</v>
      </c>
    </row>
    <row r="78" spans="1:11" x14ac:dyDescent="0.25">
      <c r="A78" s="1" t="s">
        <v>148</v>
      </c>
      <c r="B78" s="2">
        <v>163.93</v>
      </c>
      <c r="C78" s="2">
        <v>5.2049899999999996</v>
      </c>
      <c r="D78" s="2">
        <v>2831.5</v>
      </c>
      <c r="E78" s="2">
        <v>150.17500000000001</v>
      </c>
      <c r="F78" s="2">
        <v>2233.36</v>
      </c>
      <c r="G78" s="4">
        <f t="shared" si="8"/>
        <v>-2.9542118974314087E-3</v>
      </c>
      <c r="H78" s="4">
        <f t="shared" si="9"/>
        <v>-6.2131391683106904E-3</v>
      </c>
      <c r="I78" s="4">
        <f t="shared" si="10"/>
        <v>-3.668418547427571E-2</v>
      </c>
      <c r="J78" s="4">
        <f t="shared" si="11"/>
        <v>-2.3090758616311494E-2</v>
      </c>
      <c r="K78" s="4">
        <f t="shared" si="12"/>
        <v>9.1739441019556014E-2</v>
      </c>
    </row>
    <row r="79" spans="1:11" x14ac:dyDescent="0.25">
      <c r="A79" s="1" t="s">
        <v>149</v>
      </c>
      <c r="B79" s="2">
        <v>179.745</v>
      </c>
      <c r="C79" s="2">
        <v>5.2709400000000004</v>
      </c>
      <c r="D79" s="2">
        <v>2783.85</v>
      </c>
      <c r="E79" s="2">
        <v>159.61699999999999</v>
      </c>
      <c r="F79" s="2">
        <v>2218.41</v>
      </c>
      <c r="G79" s="4">
        <f t="shared" si="8"/>
        <v>9.2099672364224602E-2</v>
      </c>
      <c r="H79" s="4">
        <f t="shared" si="9"/>
        <v>1.2590933933511425E-2</v>
      </c>
      <c r="I79" s="4">
        <f t="shared" si="10"/>
        <v>-1.6971744861436426E-2</v>
      </c>
      <c r="J79" s="4">
        <f t="shared" si="11"/>
        <v>6.0975914897752719E-2</v>
      </c>
      <c r="K79" s="4">
        <f t="shared" si="12"/>
        <v>-6.7164548934263877E-3</v>
      </c>
    </row>
    <row r="80" spans="1:11" x14ac:dyDescent="0.25">
      <c r="A80" s="1" t="s">
        <v>150</v>
      </c>
      <c r="B80" s="2">
        <v>179.47300000000001</v>
      </c>
      <c r="C80" s="2">
        <v>5.3547500000000001</v>
      </c>
      <c r="D80" s="2">
        <v>2662.56</v>
      </c>
      <c r="E80" s="2">
        <v>165.17599999999999</v>
      </c>
      <c r="F80" s="2">
        <v>2253.4499999999998</v>
      </c>
      <c r="G80" s="4">
        <f t="shared" si="8"/>
        <v>-1.5144010154500352E-3</v>
      </c>
      <c r="H80" s="4">
        <f t="shared" si="9"/>
        <v>1.5775302700103553E-2</v>
      </c>
      <c r="I80" s="4">
        <f t="shared" si="10"/>
        <v>-4.4546795717389107E-2</v>
      </c>
      <c r="J80" s="4">
        <f t="shared" si="11"/>
        <v>3.4234376448600216E-2</v>
      </c>
      <c r="K80" s="4">
        <f t="shared" si="12"/>
        <v>1.567165213179816E-2</v>
      </c>
    </row>
    <row r="81" spans="1:11" x14ac:dyDescent="0.25">
      <c r="A81" s="1" t="s">
        <v>151</v>
      </c>
      <c r="B81" s="2">
        <v>164.494</v>
      </c>
      <c r="C81" s="2">
        <v>5.27027</v>
      </c>
      <c r="D81" s="2">
        <v>2468.0700000000002</v>
      </c>
      <c r="E81" s="2">
        <v>169.67400000000001</v>
      </c>
      <c r="F81" s="2">
        <v>2368.0300000000002</v>
      </c>
      <c r="G81" s="4">
        <f t="shared" si="8"/>
        <v>-8.715068341104526E-2</v>
      </c>
      <c r="H81" s="4">
        <f t="shared" si="9"/>
        <v>-1.5902422831644968E-2</v>
      </c>
      <c r="I81" s="4">
        <f t="shared" si="10"/>
        <v>-7.5851597304977508E-2</v>
      </c>
      <c r="J81" s="4">
        <f t="shared" si="11"/>
        <v>2.6867376869720232E-2</v>
      </c>
      <c r="K81" s="4">
        <f t="shared" si="12"/>
        <v>4.9596010666023038E-2</v>
      </c>
    </row>
    <row r="82" spans="1:11" x14ac:dyDescent="0.25">
      <c r="A82" s="1" t="s">
        <v>152</v>
      </c>
      <c r="B82" s="2">
        <v>186.33199999999999</v>
      </c>
      <c r="C82" s="2">
        <v>5.3630699999999996</v>
      </c>
      <c r="D82" s="2">
        <v>1912.35</v>
      </c>
      <c r="E82" s="2">
        <v>168.89699999999999</v>
      </c>
      <c r="F82" s="2">
        <v>2310.29</v>
      </c>
      <c r="G82" s="4">
        <f t="shared" si="8"/>
        <v>0.12465593345023077</v>
      </c>
      <c r="H82" s="4">
        <f t="shared" si="9"/>
        <v>1.7454977674183494E-2</v>
      </c>
      <c r="I82" s="4">
        <f t="shared" si="10"/>
        <v>-0.25510361641781554</v>
      </c>
      <c r="J82" s="4">
        <f t="shared" si="11"/>
        <v>-4.5898872856329851E-3</v>
      </c>
      <c r="K82" s="4">
        <f t="shared" si="12"/>
        <v>-2.4685328080812516E-2</v>
      </c>
    </row>
    <row r="83" spans="1:11" x14ac:dyDescent="0.25">
      <c r="A83" s="1" t="s">
        <v>153</v>
      </c>
      <c r="B83" s="2">
        <v>168.923</v>
      </c>
      <c r="C83" s="2">
        <v>5.4613300000000002</v>
      </c>
      <c r="D83" s="2">
        <v>1995.63</v>
      </c>
      <c r="E83" s="2">
        <v>178.52199999999999</v>
      </c>
      <c r="F83" s="2">
        <v>2405.0500000000002</v>
      </c>
      <c r="G83" s="4">
        <f t="shared" si="8"/>
        <v>-9.8087039031950485E-2</v>
      </c>
      <c r="H83" s="4">
        <f t="shared" si="9"/>
        <v>1.8155777525585646E-2</v>
      </c>
      <c r="I83" s="4">
        <f t="shared" si="10"/>
        <v>4.2626937694406064E-2</v>
      </c>
      <c r="J83" s="4">
        <f t="shared" si="11"/>
        <v>5.542278125817713E-2</v>
      </c>
      <c r="K83" s="4">
        <f t="shared" si="12"/>
        <v>4.0197635582789472E-2</v>
      </c>
    </row>
    <row r="84" spans="1:11" x14ac:dyDescent="0.25">
      <c r="A84" s="1" t="s">
        <v>154</v>
      </c>
      <c r="B84" s="2">
        <v>179.24100000000001</v>
      </c>
      <c r="C84" s="2">
        <v>5.4654100000000003</v>
      </c>
      <c r="D84" s="2">
        <v>1738.89</v>
      </c>
      <c r="E84" s="2">
        <v>187.32300000000001</v>
      </c>
      <c r="F84" s="2">
        <v>2194.37</v>
      </c>
      <c r="G84" s="4">
        <f t="shared" si="8"/>
        <v>5.9288279219809968E-2</v>
      </c>
      <c r="H84" s="4">
        <f t="shared" si="9"/>
        <v>7.4679185001515149E-4</v>
      </c>
      <c r="I84" s="4">
        <f t="shared" si="10"/>
        <v>-0.13771281133713531</v>
      </c>
      <c r="J84" s="4">
        <f t="shared" si="11"/>
        <v>4.8122556637013376E-2</v>
      </c>
      <c r="K84" s="4">
        <f t="shared" si="12"/>
        <v>-9.1675703977560266E-2</v>
      </c>
    </row>
    <row r="85" spans="1:11" x14ac:dyDescent="0.25">
      <c r="A85" s="1" t="s">
        <v>155</v>
      </c>
      <c r="B85" s="2">
        <v>187.40199999999999</v>
      </c>
      <c r="C85" s="2">
        <v>5.4556899999999997</v>
      </c>
      <c r="D85" s="2">
        <v>1906.69</v>
      </c>
      <c r="E85" s="2">
        <v>190.92699999999999</v>
      </c>
      <c r="F85" s="2">
        <v>2266.92</v>
      </c>
      <c r="G85" s="4">
        <f t="shared" si="8"/>
        <v>4.4524773091779185E-2</v>
      </c>
      <c r="H85" s="4">
        <f t="shared" si="9"/>
        <v>-1.7800409421253318E-3</v>
      </c>
      <c r="I85" s="4">
        <f t="shared" si="10"/>
        <v>9.2121775783579316E-2</v>
      </c>
      <c r="J85" s="4">
        <f t="shared" si="11"/>
        <v>1.905675647525909E-2</v>
      </c>
      <c r="K85" s="4">
        <f t="shared" si="12"/>
        <v>3.2527092589779427E-2</v>
      </c>
    </row>
    <row r="86" spans="1:11" x14ac:dyDescent="0.25">
      <c r="A86" s="1" t="s">
        <v>156</v>
      </c>
      <c r="B86" s="2">
        <v>174.92699999999999</v>
      </c>
      <c r="C86" s="2">
        <v>5.4829299999999996</v>
      </c>
      <c r="D86" s="2">
        <v>2353.06</v>
      </c>
      <c r="E86" s="2">
        <v>179.71</v>
      </c>
      <c r="F86" s="2">
        <v>2209.62</v>
      </c>
      <c r="G86" s="4">
        <f t="shared" si="8"/>
        <v>-6.8887298067877287E-2</v>
      </c>
      <c r="H86" s="4">
        <f t="shared" si="9"/>
        <v>4.9805288617472488E-3</v>
      </c>
      <c r="I86" s="4">
        <f t="shared" si="10"/>
        <v>0.21034785437168435</v>
      </c>
      <c r="J86" s="4">
        <f t="shared" si="11"/>
        <v>-6.0546715493184244E-2</v>
      </c>
      <c r="K86" s="4">
        <f t="shared" si="12"/>
        <v>-2.5601526930677253E-2</v>
      </c>
    </row>
    <row r="87" spans="1:11" x14ac:dyDescent="0.25">
      <c r="A87" s="1" t="s">
        <v>157</v>
      </c>
      <c r="B87" s="2">
        <v>163.59899999999999</v>
      </c>
      <c r="C87" s="2">
        <v>5.6246</v>
      </c>
      <c r="D87" s="2">
        <v>2495.56</v>
      </c>
      <c r="E87" s="2">
        <v>178.75200000000001</v>
      </c>
      <c r="F87" s="2">
        <v>1999.88</v>
      </c>
      <c r="G87" s="4">
        <f t="shared" si="8"/>
        <v>-6.6950432357558834E-2</v>
      </c>
      <c r="H87" s="4">
        <f t="shared" si="9"/>
        <v>2.5510204843981921E-2</v>
      </c>
      <c r="I87" s="4">
        <f t="shared" si="10"/>
        <v>5.8796544133753875E-2</v>
      </c>
      <c r="J87" s="4">
        <f t="shared" si="11"/>
        <v>-5.3450702212191484E-3</v>
      </c>
      <c r="K87" s="4">
        <f t="shared" si="12"/>
        <v>-9.9733376284073735E-2</v>
      </c>
    </row>
    <row r="88" spans="1:11" x14ac:dyDescent="0.25">
      <c r="A88" s="1" t="s">
        <v>158</v>
      </c>
      <c r="B88" s="2">
        <v>168.78700000000001</v>
      </c>
      <c r="C88" s="2">
        <v>5.5174000000000003</v>
      </c>
      <c r="D88" s="2">
        <v>2263.35</v>
      </c>
      <c r="E88" s="2">
        <v>188.81700000000001</v>
      </c>
      <c r="F88" s="2">
        <v>2133.0500000000002</v>
      </c>
      <c r="G88" s="4">
        <f t="shared" si="8"/>
        <v>3.1219253297572469E-2</v>
      </c>
      <c r="H88" s="4">
        <f t="shared" si="9"/>
        <v>-1.9243099616778149E-2</v>
      </c>
      <c r="I88" s="4">
        <f t="shared" si="10"/>
        <v>-9.7667136270759139E-2</v>
      </c>
      <c r="J88" s="4">
        <f t="shared" si="11"/>
        <v>5.4778921707999036E-2</v>
      </c>
      <c r="K88" s="4">
        <f t="shared" si="12"/>
        <v>6.4465701617282239E-2</v>
      </c>
    </row>
    <row r="89" spans="1:11" x14ac:dyDescent="0.25">
      <c r="A89" s="1" t="s">
        <v>159</v>
      </c>
      <c r="B89" s="2">
        <v>117.53100000000001</v>
      </c>
      <c r="C89" s="2">
        <v>5.5723900000000004</v>
      </c>
      <c r="D89" s="2">
        <v>2319.0500000000002</v>
      </c>
      <c r="E89" s="2">
        <v>184.94499999999999</v>
      </c>
      <c r="F89" s="2">
        <v>1858.12</v>
      </c>
      <c r="G89" s="4">
        <f t="shared" si="8"/>
        <v>-0.36193543640361053</v>
      </c>
      <c r="H89" s="4">
        <f t="shared" si="9"/>
        <v>9.9173114553456655E-3</v>
      </c>
      <c r="I89" s="4">
        <f t="shared" si="10"/>
        <v>2.4311602413006238E-2</v>
      </c>
      <c r="J89" s="4">
        <f t="shared" si="11"/>
        <v>-2.0719808451285494E-2</v>
      </c>
      <c r="K89" s="4">
        <f t="shared" si="12"/>
        <v>-0.13798765649517919</v>
      </c>
    </row>
    <row r="90" spans="1:11" x14ac:dyDescent="0.25">
      <c r="A90" s="1" t="s">
        <v>160</v>
      </c>
      <c r="B90" s="2">
        <v>105.56399999999999</v>
      </c>
      <c r="C90" s="2">
        <v>5.3820899999999998</v>
      </c>
      <c r="D90" s="2">
        <v>2002</v>
      </c>
      <c r="E90" s="2">
        <v>174.477</v>
      </c>
      <c r="F90" s="2">
        <v>1842.93</v>
      </c>
      <c r="G90" s="4">
        <f t="shared" si="8"/>
        <v>-0.10738472451595185</v>
      </c>
      <c r="H90" s="4">
        <f t="shared" si="9"/>
        <v>-3.4747271716502347E-2</v>
      </c>
      <c r="I90" s="4">
        <f t="shared" si="10"/>
        <v>-0.14701093816561045</v>
      </c>
      <c r="J90" s="4">
        <f t="shared" si="11"/>
        <v>-5.8265555781599476E-2</v>
      </c>
      <c r="K90" s="4">
        <f t="shared" si="12"/>
        <v>-8.2085274674251179E-3</v>
      </c>
    </row>
    <row r="91" spans="1:11" x14ac:dyDescent="0.25">
      <c r="A91" s="1" t="s">
        <v>161</v>
      </c>
      <c r="B91" s="2">
        <v>92.952699999999993</v>
      </c>
      <c r="C91" s="2">
        <v>5.4609300000000003</v>
      </c>
      <c r="D91" s="2">
        <v>1938.22</v>
      </c>
      <c r="E91" s="2">
        <v>166.42400000000001</v>
      </c>
      <c r="F91" s="2">
        <v>1695.97</v>
      </c>
      <c r="G91" s="4">
        <f t="shared" si="8"/>
        <v>-0.12722664243776441</v>
      </c>
      <c r="H91" s="4">
        <f t="shared" si="9"/>
        <v>1.4542330349769152E-2</v>
      </c>
      <c r="I91" s="4">
        <f t="shared" si="10"/>
        <v>-3.2376654775411594E-2</v>
      </c>
      <c r="J91" s="4">
        <f t="shared" si="11"/>
        <v>-4.7254179041743984E-2</v>
      </c>
      <c r="K91" s="4">
        <f t="shared" si="12"/>
        <v>-8.3101847880531654E-2</v>
      </c>
    </row>
    <row r="92" spans="1:11" x14ac:dyDescent="0.25">
      <c r="A92" s="1" t="s">
        <v>162</v>
      </c>
      <c r="B92" s="2">
        <v>89.131399999999999</v>
      </c>
      <c r="C92" s="2">
        <v>5.6474299999999999</v>
      </c>
      <c r="D92" s="2">
        <v>2135.14</v>
      </c>
      <c r="E92" s="2">
        <v>188.583</v>
      </c>
      <c r="F92" s="2">
        <v>1721.11</v>
      </c>
      <c r="G92" s="4">
        <f t="shared" si="8"/>
        <v>-4.1979076207812549E-2</v>
      </c>
      <c r="H92" s="4">
        <f t="shared" si="9"/>
        <v>3.3581469495527587E-2</v>
      </c>
      <c r="I92" s="4">
        <f t="shared" si="10"/>
        <v>9.6762192183596621E-2</v>
      </c>
      <c r="J92" s="4">
        <f t="shared" si="11"/>
        <v>0.12499947952271433</v>
      </c>
      <c r="K92" s="4">
        <f t="shared" si="12"/>
        <v>1.4714582980537778E-2</v>
      </c>
    </row>
    <row r="93" spans="1:11" x14ac:dyDescent="0.25">
      <c r="A93" s="1" t="s">
        <v>163</v>
      </c>
      <c r="B93" s="2">
        <v>82.564999999999998</v>
      </c>
      <c r="C93" s="2">
        <v>5.4612400000000001</v>
      </c>
      <c r="D93" s="2">
        <v>2086.5</v>
      </c>
      <c r="E93" s="2">
        <v>185.7</v>
      </c>
      <c r="F93" s="2">
        <v>1528.22</v>
      </c>
      <c r="G93" s="4">
        <f t="shared" si="8"/>
        <v>-7.6525823498009099E-2</v>
      </c>
      <c r="H93" s="4">
        <f t="shared" si="9"/>
        <v>-3.3524704219015239E-2</v>
      </c>
      <c r="I93" s="4">
        <f t="shared" si="10"/>
        <v>-2.304419725174366E-2</v>
      </c>
      <c r="J93" s="4">
        <f t="shared" si="11"/>
        <v>-1.5405759920135886E-2</v>
      </c>
      <c r="K93" s="4">
        <f t="shared" si="12"/>
        <v>-0.1188657720766266</v>
      </c>
    </row>
    <row r="94" spans="1:11" x14ac:dyDescent="0.25">
      <c r="A94" s="1" t="s">
        <v>164</v>
      </c>
      <c r="B94" s="2">
        <v>98.347899999999996</v>
      </c>
      <c r="C94" s="2">
        <v>5.5356199999999998</v>
      </c>
      <c r="D94" s="2">
        <v>2176.9699999999998</v>
      </c>
      <c r="E94" s="2">
        <v>179.87799999999999</v>
      </c>
      <c r="F94" s="2">
        <v>1377.91</v>
      </c>
      <c r="G94" s="4">
        <f t="shared" si="8"/>
        <v>0.17492533037898522</v>
      </c>
      <c r="H94" s="4">
        <f t="shared" si="9"/>
        <v>1.3527704141722991E-2</v>
      </c>
      <c r="I94" s="4">
        <f t="shared" si="10"/>
        <v>4.2445980676202179E-2</v>
      </c>
      <c r="J94" s="4">
        <f t="shared" si="11"/>
        <v>-3.1853625041424832E-2</v>
      </c>
      <c r="K94" s="4">
        <f t="shared" si="12"/>
        <v>-0.1035358010258325</v>
      </c>
    </row>
    <row r="95" spans="1:11" x14ac:dyDescent="0.25">
      <c r="A95" s="1" t="s">
        <v>165</v>
      </c>
      <c r="B95" s="2">
        <v>124.75</v>
      </c>
      <c r="C95" s="2">
        <v>5.4738899999999999</v>
      </c>
      <c r="D95" s="2">
        <v>1849.1</v>
      </c>
      <c r="E95" s="2">
        <v>184.19200000000001</v>
      </c>
      <c r="F95" s="2">
        <v>1536.28</v>
      </c>
      <c r="G95" s="4">
        <f t="shared" si="8"/>
        <v>0.23780054233769107</v>
      </c>
      <c r="H95" s="4">
        <f t="shared" si="9"/>
        <v>-1.1214058918866916E-2</v>
      </c>
      <c r="I95" s="4">
        <f t="shared" si="10"/>
        <v>-0.16323496749486907</v>
      </c>
      <c r="J95" s="4">
        <f t="shared" si="11"/>
        <v>2.3699848507612826E-2</v>
      </c>
      <c r="K95" s="4">
        <f t="shared" si="12"/>
        <v>0.10879605136694201</v>
      </c>
    </row>
    <row r="96" spans="1:11" x14ac:dyDescent="0.25">
      <c r="A96" s="1" t="s">
        <v>166</v>
      </c>
      <c r="B96" s="2">
        <v>128.559</v>
      </c>
      <c r="C96" s="2">
        <v>5.4113199999999999</v>
      </c>
      <c r="D96" s="2">
        <v>1887.27</v>
      </c>
      <c r="E96" s="2">
        <v>178.892</v>
      </c>
      <c r="F96" s="2">
        <v>1736.26</v>
      </c>
      <c r="G96" s="4">
        <f t="shared" si="8"/>
        <v>3.0076208298179335E-2</v>
      </c>
      <c r="H96" s="4">
        <f t="shared" si="9"/>
        <v>-1.1496459718740842E-2</v>
      </c>
      <c r="I96" s="4">
        <f t="shared" si="10"/>
        <v>2.0432306180764571E-2</v>
      </c>
      <c r="J96" s="4">
        <f t="shared" si="11"/>
        <v>-2.9196420029437831E-2</v>
      </c>
      <c r="K96" s="4">
        <f t="shared" si="12"/>
        <v>0.12236946483002711</v>
      </c>
    </row>
    <row r="97" spans="1:11" x14ac:dyDescent="0.25">
      <c r="A97" s="1" t="s">
        <v>167</v>
      </c>
      <c r="B97" s="2">
        <v>127.244</v>
      </c>
      <c r="C97" s="2">
        <v>5.29535</v>
      </c>
      <c r="D97" s="2">
        <v>1790.42</v>
      </c>
      <c r="E97" s="2">
        <v>168.351</v>
      </c>
      <c r="F97" s="2">
        <v>1792.01</v>
      </c>
      <c r="G97" s="4">
        <f t="shared" si="8"/>
        <v>-1.0281439887845467E-2</v>
      </c>
      <c r="H97" s="4">
        <f t="shared" si="9"/>
        <v>-2.166397874003621E-2</v>
      </c>
      <c r="I97" s="4">
        <f t="shared" si="10"/>
        <v>-5.2681111210321485E-2</v>
      </c>
      <c r="J97" s="4">
        <f t="shared" si="11"/>
        <v>-6.0731186200028424E-2</v>
      </c>
      <c r="K97" s="4">
        <f t="shared" si="12"/>
        <v>3.1604520285244235E-2</v>
      </c>
    </row>
    <row r="98" spans="1:11" x14ac:dyDescent="0.25">
      <c r="A98" s="1" t="s">
        <v>168</v>
      </c>
      <c r="B98" s="2">
        <v>136.745</v>
      </c>
      <c r="C98" s="2">
        <v>5.3398000000000003</v>
      </c>
      <c r="D98" s="2">
        <v>1652.52</v>
      </c>
      <c r="E98" s="2">
        <v>176.05799999999999</v>
      </c>
      <c r="F98" s="2">
        <v>1902.25</v>
      </c>
      <c r="G98" s="4">
        <f t="shared" si="8"/>
        <v>7.201137452038521E-2</v>
      </c>
      <c r="H98" s="4">
        <f t="shared" si="9"/>
        <v>8.3591221239114177E-3</v>
      </c>
      <c r="I98" s="4">
        <f t="shared" si="10"/>
        <v>-8.0148833656348673E-2</v>
      </c>
      <c r="J98" s="4">
        <f t="shared" si="11"/>
        <v>4.4762400609138824E-2</v>
      </c>
      <c r="K98" s="4">
        <f t="shared" si="12"/>
        <v>5.9699501180183717E-2</v>
      </c>
    </row>
    <row r="99" spans="1:11" x14ac:dyDescent="0.25">
      <c r="A99" s="1" t="s">
        <v>169</v>
      </c>
      <c r="B99" s="2">
        <v>129.952</v>
      </c>
      <c r="C99" s="2">
        <v>5.3513099999999998</v>
      </c>
      <c r="D99" s="2">
        <v>1426.15</v>
      </c>
      <c r="E99" s="2">
        <v>177.89699999999999</v>
      </c>
      <c r="F99" s="2">
        <v>1847.94</v>
      </c>
      <c r="G99" s="4">
        <f t="shared" si="8"/>
        <v>-5.0952726058459998E-2</v>
      </c>
      <c r="H99" s="4">
        <f t="shared" si="9"/>
        <v>2.1531916605329066E-3</v>
      </c>
      <c r="I99" s="4">
        <f t="shared" si="10"/>
        <v>-0.14732288974399077</v>
      </c>
      <c r="J99" s="4">
        <f t="shared" si="11"/>
        <v>1.0391244918672037E-2</v>
      </c>
      <c r="K99" s="4">
        <f t="shared" si="12"/>
        <v>-2.8965890914551876E-2</v>
      </c>
    </row>
    <row r="100" spans="1:11" x14ac:dyDescent="0.25">
      <c r="A100" s="1" t="s">
        <v>170</v>
      </c>
      <c r="B100" s="2">
        <v>109.163</v>
      </c>
      <c r="C100" s="2">
        <v>5.3225899999999999</v>
      </c>
      <c r="D100" s="2">
        <v>1470.52</v>
      </c>
      <c r="E100" s="2">
        <v>177.036</v>
      </c>
      <c r="F100" s="2">
        <v>1758.56</v>
      </c>
      <c r="G100" s="4">
        <f t="shared" ref="G100:G131" si="13">LN(B100/B99)</f>
        <v>-0.17432297344703221</v>
      </c>
      <c r="H100" s="4">
        <f t="shared" ref="H100:H131" si="14">LN(C100/C99)</f>
        <v>-5.3813637580805507E-3</v>
      </c>
      <c r="I100" s="4">
        <f t="shared" ref="I100:I131" si="15">LN(D100/D99)</f>
        <v>3.0637573934564438E-2</v>
      </c>
      <c r="J100" s="4">
        <f t="shared" si="11"/>
        <v>-4.8516293997623392E-3</v>
      </c>
      <c r="K100" s="4">
        <f t="shared" si="12"/>
        <v>-4.9576212821490051E-2</v>
      </c>
    </row>
    <row r="101" spans="1:11" x14ac:dyDescent="0.25">
      <c r="A101" s="1" t="s">
        <v>171</v>
      </c>
      <c r="B101" s="2">
        <v>111.206</v>
      </c>
      <c r="C101" s="2">
        <v>5.2306999999999997</v>
      </c>
      <c r="D101" s="2">
        <v>1505</v>
      </c>
      <c r="E101" s="2">
        <v>173.358</v>
      </c>
      <c r="F101" s="2">
        <v>1923.09</v>
      </c>
      <c r="G101" s="4">
        <f t="shared" si="13"/>
        <v>1.8542159138541812E-2</v>
      </c>
      <c r="H101" s="4">
        <f t="shared" si="14"/>
        <v>-1.7414914656782379E-2</v>
      </c>
      <c r="I101" s="4">
        <f t="shared" si="15"/>
        <v>2.3176818465367607E-2</v>
      </c>
      <c r="J101" s="4">
        <f t="shared" si="11"/>
        <v>-2.0994281248538235E-2</v>
      </c>
      <c r="K101" s="4">
        <f t="shared" si="12"/>
        <v>8.9437975045091003E-2</v>
      </c>
    </row>
    <row r="102" spans="1:11" x14ac:dyDescent="0.25">
      <c r="A102" s="1" t="s">
        <v>172</v>
      </c>
      <c r="B102" s="2">
        <v>118.96</v>
      </c>
      <c r="C102" s="2">
        <v>5.2747599999999997</v>
      </c>
      <c r="D102" s="2">
        <v>1369.62</v>
      </c>
      <c r="E102" s="2">
        <v>177.52500000000001</v>
      </c>
      <c r="F102" s="2">
        <v>1894.48</v>
      </c>
      <c r="G102" s="4">
        <f t="shared" si="13"/>
        <v>6.7402964956502831E-2</v>
      </c>
      <c r="H102" s="4">
        <f t="shared" si="14"/>
        <v>8.3880683638848739E-3</v>
      </c>
      <c r="I102" s="4">
        <f t="shared" si="15"/>
        <v>-9.4259569098380055E-2</v>
      </c>
      <c r="J102" s="4">
        <f t="shared" si="11"/>
        <v>2.3752623593265302E-2</v>
      </c>
      <c r="K102" s="4">
        <f t="shared" si="12"/>
        <v>-1.4988872837914764E-2</v>
      </c>
    </row>
    <row r="103" spans="1:11" x14ac:dyDescent="0.25">
      <c r="A103" s="1" t="s">
        <v>173</v>
      </c>
      <c r="B103" s="2">
        <v>153.172</v>
      </c>
      <c r="C103" s="2">
        <v>5.16249</v>
      </c>
      <c r="D103" s="2">
        <v>1232.77</v>
      </c>
      <c r="E103" s="2">
        <v>183.49100000000001</v>
      </c>
      <c r="F103" s="2">
        <v>2060.38</v>
      </c>
      <c r="G103" s="4">
        <f t="shared" si="13"/>
        <v>0.25277417082653292</v>
      </c>
      <c r="H103" s="4">
        <f t="shared" si="14"/>
        <v>-2.1514159457479549E-2</v>
      </c>
      <c r="I103" s="4">
        <f t="shared" si="15"/>
        <v>-0.1052696592222888</v>
      </c>
      <c r="J103" s="4">
        <f t="shared" si="11"/>
        <v>3.3054175902131722E-2</v>
      </c>
      <c r="K103" s="4">
        <f t="shared" si="12"/>
        <v>8.3946037263513754E-2</v>
      </c>
    </row>
    <row r="104" spans="1:11" x14ac:dyDescent="0.25">
      <c r="A104" s="1" t="s">
        <v>174</v>
      </c>
      <c r="B104" s="2">
        <v>161.58000000000001</v>
      </c>
      <c r="C104" s="2">
        <v>5.1404699999999997</v>
      </c>
      <c r="D104" s="2">
        <v>1286.07</v>
      </c>
      <c r="E104" s="2">
        <v>185.54499999999999</v>
      </c>
      <c r="F104" s="2">
        <v>2193.56</v>
      </c>
      <c r="G104" s="4">
        <f t="shared" si="13"/>
        <v>5.3438903073130102E-2</v>
      </c>
      <c r="H104" s="4">
        <f t="shared" si="14"/>
        <v>-4.2745062638340926E-3</v>
      </c>
      <c r="I104" s="4">
        <f t="shared" si="15"/>
        <v>4.2327386802238048E-2</v>
      </c>
      <c r="J104" s="4">
        <f t="shared" si="11"/>
        <v>1.1131820258664717E-2</v>
      </c>
      <c r="K104" s="4">
        <f t="shared" si="12"/>
        <v>6.2635362985450568E-2</v>
      </c>
    </row>
    <row r="105" spans="1:11" x14ac:dyDescent="0.25">
      <c r="A105" s="1" t="s">
        <v>175</v>
      </c>
      <c r="B105" s="2">
        <v>145.94999999999999</v>
      </c>
      <c r="C105" s="2">
        <v>5.2253499999999997</v>
      </c>
      <c r="D105" s="2">
        <v>1229.82</v>
      </c>
      <c r="E105" s="2">
        <v>187.541</v>
      </c>
      <c r="F105" s="2">
        <v>2027.38</v>
      </c>
      <c r="G105" s="4">
        <f t="shared" si="13"/>
        <v>-0.10173627875143899</v>
      </c>
      <c r="H105" s="4">
        <f t="shared" si="14"/>
        <v>1.6377266277933299E-2</v>
      </c>
      <c r="I105" s="4">
        <f t="shared" si="15"/>
        <v>-4.4723239470453383E-2</v>
      </c>
      <c r="J105" s="4">
        <f t="shared" si="11"/>
        <v>1.0700047944107624E-2</v>
      </c>
      <c r="K105" s="4">
        <f t="shared" si="12"/>
        <v>-7.8781475728623401E-2</v>
      </c>
    </row>
    <row r="106" spans="1:11" x14ac:dyDescent="0.25">
      <c r="A106" s="1" t="s">
        <v>176</v>
      </c>
      <c r="B106" s="2">
        <v>123.843</v>
      </c>
      <c r="C106" s="2">
        <v>5.3285400000000003</v>
      </c>
      <c r="D106" s="2">
        <v>1248.5999999999999</v>
      </c>
      <c r="E106" s="2">
        <v>191.90299999999999</v>
      </c>
      <c r="F106" s="2">
        <v>1915.6</v>
      </c>
      <c r="G106" s="4">
        <f t="shared" si="13"/>
        <v>-0.16424946294592099</v>
      </c>
      <c r="H106" s="4">
        <f t="shared" si="14"/>
        <v>1.9555498200368827E-2</v>
      </c>
      <c r="I106" s="4">
        <f t="shared" si="15"/>
        <v>1.5155106433551956E-2</v>
      </c>
      <c r="J106" s="4">
        <f t="shared" si="11"/>
        <v>2.2992547860658231E-2</v>
      </c>
      <c r="K106" s="4">
        <f t="shared" si="12"/>
        <v>-5.6713429579653148E-2</v>
      </c>
    </row>
    <row r="107" spans="1:11" x14ac:dyDescent="0.25">
      <c r="A107" s="1" t="s">
        <v>177</v>
      </c>
      <c r="B107" s="2">
        <v>103.86199999999999</v>
      </c>
      <c r="C107" s="2">
        <v>5.1195199999999996</v>
      </c>
      <c r="D107" s="2">
        <v>1127.3499999999999</v>
      </c>
      <c r="E107" s="2">
        <v>178.50299999999999</v>
      </c>
      <c r="F107" s="2">
        <v>2149.73</v>
      </c>
      <c r="G107" s="4">
        <f t="shared" si="13"/>
        <v>-0.17595153943173719</v>
      </c>
      <c r="H107" s="4">
        <f t="shared" si="14"/>
        <v>-4.0016594797127762E-2</v>
      </c>
      <c r="I107" s="4">
        <f t="shared" si="15"/>
        <v>-0.10215317779512259</v>
      </c>
      <c r="J107" s="4">
        <f t="shared" si="11"/>
        <v>-7.2384628232568138E-2</v>
      </c>
      <c r="K107" s="4">
        <f t="shared" si="12"/>
        <v>0.11531136337190172</v>
      </c>
    </row>
    <row r="108" spans="1:11" x14ac:dyDescent="0.25">
      <c r="A108" s="1" t="s">
        <v>178</v>
      </c>
      <c r="B108" s="2">
        <v>107.67</v>
      </c>
      <c r="C108" s="2">
        <v>5.0466100000000003</v>
      </c>
      <c r="D108" s="2">
        <v>1009.05</v>
      </c>
      <c r="E108" s="2">
        <v>184.078</v>
      </c>
      <c r="F108" s="2">
        <v>2215.25</v>
      </c>
      <c r="G108" s="4">
        <f t="shared" si="13"/>
        <v>3.6007898905160207E-2</v>
      </c>
      <c r="H108" s="4">
        <f t="shared" si="14"/>
        <v>-1.4343953912143435E-2</v>
      </c>
      <c r="I108" s="4">
        <f t="shared" si="15"/>
        <v>-0.11086045169279661</v>
      </c>
      <c r="J108" s="4">
        <f t="shared" si="11"/>
        <v>3.0754173025562943E-2</v>
      </c>
      <c r="K108" s="4">
        <f t="shared" si="12"/>
        <v>3.002301108705574E-2</v>
      </c>
    </row>
    <row r="109" spans="1:11" x14ac:dyDescent="0.25">
      <c r="A109" s="1" t="s">
        <v>179</v>
      </c>
      <c r="B109" s="2">
        <v>113.754</v>
      </c>
      <c r="C109" s="2">
        <v>5.0152799999999997</v>
      </c>
      <c r="D109" s="2">
        <v>1105.05</v>
      </c>
      <c r="E109" s="2">
        <v>190.82900000000001</v>
      </c>
      <c r="F109" s="2">
        <v>2342.9899999999998</v>
      </c>
      <c r="G109" s="4">
        <f t="shared" si="13"/>
        <v>5.4967228220330837E-2</v>
      </c>
      <c r="H109" s="4">
        <f t="shared" si="14"/>
        <v>-6.2274783866518068E-3</v>
      </c>
      <c r="I109" s="4">
        <f t="shared" si="15"/>
        <v>9.0881288657207751E-2</v>
      </c>
      <c r="J109" s="4">
        <f t="shared" si="11"/>
        <v>3.6018158252172416E-2</v>
      </c>
      <c r="K109" s="4">
        <f t="shared" si="12"/>
        <v>5.6062627538838727E-2</v>
      </c>
    </row>
    <row r="110" spans="1:11" x14ac:dyDescent="0.25">
      <c r="A110" s="1" t="s">
        <v>180</v>
      </c>
      <c r="B110" s="2">
        <v>103.61499999999999</v>
      </c>
      <c r="C110" s="2">
        <v>5.0786300000000004</v>
      </c>
      <c r="D110" s="2">
        <v>981.55</v>
      </c>
      <c r="E110" s="2">
        <v>200.613</v>
      </c>
      <c r="F110" s="2">
        <v>2279.86</v>
      </c>
      <c r="G110" s="4">
        <f t="shared" si="13"/>
        <v>-9.3356115058505454E-2</v>
      </c>
      <c r="H110" s="4">
        <f t="shared" si="14"/>
        <v>1.2552287821655838E-2</v>
      </c>
      <c r="I110" s="4">
        <f t="shared" si="15"/>
        <v>-0.11851290694288989</v>
      </c>
      <c r="J110" s="4">
        <f t="shared" si="11"/>
        <v>4.9999939932407471E-2</v>
      </c>
      <c r="K110" s="4">
        <f t="shared" si="12"/>
        <v>-2.7313853911808475E-2</v>
      </c>
    </row>
    <row r="111" spans="1:11" x14ac:dyDescent="0.25">
      <c r="A111" s="1" t="s">
        <v>181</v>
      </c>
      <c r="B111" s="2">
        <v>108.511</v>
      </c>
      <c r="C111" s="2">
        <v>5.0415700000000001</v>
      </c>
      <c r="D111" s="2">
        <v>946.82500000000005</v>
      </c>
      <c r="E111" s="2">
        <v>207.08600000000001</v>
      </c>
      <c r="F111" s="2">
        <v>2418.1</v>
      </c>
      <c r="G111" s="4">
        <f t="shared" si="13"/>
        <v>4.6169443340685387E-2</v>
      </c>
      <c r="H111" s="4">
        <f t="shared" si="14"/>
        <v>-7.3239986682093836E-3</v>
      </c>
      <c r="I111" s="4">
        <f t="shared" si="15"/>
        <v>-3.6018672831084217E-2</v>
      </c>
      <c r="J111" s="4">
        <f t="shared" si="11"/>
        <v>3.1756486912104719E-2</v>
      </c>
      <c r="K111" s="4">
        <f t="shared" si="12"/>
        <v>5.8868070258109216E-2</v>
      </c>
    </row>
    <row r="112" spans="1:11" x14ac:dyDescent="0.25">
      <c r="A112" s="1" t="s">
        <v>182</v>
      </c>
      <c r="B112" s="2">
        <v>115.633</v>
      </c>
      <c r="C112" s="2">
        <v>5.0338799999999999</v>
      </c>
      <c r="D112" s="2">
        <v>1018.4</v>
      </c>
      <c r="E112" s="2">
        <v>214.69499999999999</v>
      </c>
      <c r="F112" s="2">
        <v>2436.0500000000002</v>
      </c>
      <c r="G112" s="4">
        <f t="shared" si="13"/>
        <v>6.3569832298180529E-2</v>
      </c>
      <c r="H112" s="4">
        <f t="shared" si="14"/>
        <v>-1.5264829845292992E-3</v>
      </c>
      <c r="I112" s="4">
        <f t="shared" si="15"/>
        <v>7.2873765220238612E-2</v>
      </c>
      <c r="J112" s="4">
        <f t="shared" si="11"/>
        <v>3.6084250380890484E-2</v>
      </c>
      <c r="K112" s="4">
        <f t="shared" si="12"/>
        <v>7.3957672581523044E-3</v>
      </c>
    </row>
    <row r="113" spans="1:11" x14ac:dyDescent="0.25">
      <c r="A113" s="1" t="s">
        <v>183</v>
      </c>
      <c r="B113" s="2">
        <v>117.21599999999999</v>
      </c>
      <c r="C113" s="2">
        <v>5.0762</v>
      </c>
      <c r="D113" s="2">
        <v>956</v>
      </c>
      <c r="E113" s="2">
        <v>210.495</v>
      </c>
      <c r="F113" s="2">
        <v>2476.29</v>
      </c>
      <c r="G113" s="4">
        <f t="shared" si="13"/>
        <v>1.3597003968086859E-2</v>
      </c>
      <c r="H113" s="4">
        <f t="shared" si="14"/>
        <v>8.3718916524369424E-3</v>
      </c>
      <c r="I113" s="4">
        <f t="shared" si="15"/>
        <v>-6.3230134191795476E-2</v>
      </c>
      <c r="J113" s="4">
        <f t="shared" si="11"/>
        <v>-1.9756516433080878E-2</v>
      </c>
      <c r="K113" s="4">
        <f t="shared" si="12"/>
        <v>1.6383597269441032E-2</v>
      </c>
    </row>
    <row r="114" spans="1:11" x14ac:dyDescent="0.25">
      <c r="A114" s="1" t="s">
        <v>184</v>
      </c>
      <c r="B114" s="2">
        <v>128.88800000000001</v>
      </c>
      <c r="C114" s="2">
        <v>5.0201700000000002</v>
      </c>
      <c r="D114" s="2">
        <v>918.20399999999995</v>
      </c>
      <c r="E114" s="2">
        <v>210.74199999999999</v>
      </c>
      <c r="F114" s="2">
        <v>2485.5300000000002</v>
      </c>
      <c r="G114" s="4">
        <f t="shared" si="13"/>
        <v>9.4925423592281691E-2</v>
      </c>
      <c r="H114" s="4">
        <f t="shared" si="14"/>
        <v>-1.1099152507089101E-2</v>
      </c>
      <c r="I114" s="4">
        <f t="shared" si="15"/>
        <v>-4.0338324896389353E-2</v>
      </c>
      <c r="J114" s="4">
        <f t="shared" si="11"/>
        <v>1.1727366224167058E-3</v>
      </c>
      <c r="K114" s="4">
        <f t="shared" si="12"/>
        <v>3.7244441277758311E-3</v>
      </c>
    </row>
    <row r="115" spans="1:11" x14ac:dyDescent="0.25">
      <c r="A115" s="1" t="s">
        <v>185</v>
      </c>
      <c r="B115" s="2">
        <v>138.446</v>
      </c>
      <c r="C115" s="2">
        <v>5.0880400000000003</v>
      </c>
      <c r="D115" s="2">
        <v>978.5</v>
      </c>
      <c r="E115" s="2">
        <v>227.345</v>
      </c>
      <c r="F115" s="2">
        <v>2561.27</v>
      </c>
      <c r="G115" s="4">
        <f t="shared" si="13"/>
        <v>7.1536547714426774E-2</v>
      </c>
      <c r="H115" s="4">
        <f t="shared" si="14"/>
        <v>1.3428889970058842E-2</v>
      </c>
      <c r="I115" s="4">
        <f t="shared" si="15"/>
        <v>6.3601198681118992E-2</v>
      </c>
      <c r="J115" s="4">
        <f t="shared" si="11"/>
        <v>7.5834051013012632E-2</v>
      </c>
      <c r="K115" s="4">
        <f t="shared" si="12"/>
        <v>3.0017312741865886E-2</v>
      </c>
    </row>
    <row r="116" spans="1:11" x14ac:dyDescent="0.25">
      <c r="A116" s="1" t="s">
        <v>186</v>
      </c>
      <c r="B116" s="2">
        <v>158.47300000000001</v>
      </c>
      <c r="C116" s="2">
        <v>5.0939100000000002</v>
      </c>
      <c r="D116" s="2">
        <v>929.17499999999995</v>
      </c>
      <c r="E116" s="2">
        <v>225.17</v>
      </c>
      <c r="F116" s="2">
        <v>2421.4899999999998</v>
      </c>
      <c r="G116" s="4">
        <f t="shared" si="13"/>
        <v>0.13510387390036976</v>
      </c>
      <c r="H116" s="4">
        <f t="shared" si="14"/>
        <v>1.1530209145254738E-3</v>
      </c>
      <c r="I116" s="4">
        <f t="shared" si="15"/>
        <v>-5.1723691166218749E-2</v>
      </c>
      <c r="J116" s="4">
        <f t="shared" si="11"/>
        <v>-9.6130150350695123E-3</v>
      </c>
      <c r="K116" s="4">
        <f t="shared" si="12"/>
        <v>-5.6120176046720864E-2</v>
      </c>
    </row>
    <row r="117" spans="1:11" x14ac:dyDescent="0.25">
      <c r="A117" s="1" t="s">
        <v>187</v>
      </c>
      <c r="B117" s="2">
        <v>182.43600000000001</v>
      </c>
      <c r="C117" s="2">
        <v>5.0876200000000003</v>
      </c>
      <c r="D117" s="2">
        <v>967.8</v>
      </c>
      <c r="E117" s="2">
        <v>221.86</v>
      </c>
      <c r="F117" s="2">
        <v>2412.16</v>
      </c>
      <c r="G117" s="4">
        <f t="shared" si="13"/>
        <v>0.14081519478321708</v>
      </c>
      <c r="H117" s="4">
        <f t="shared" si="14"/>
        <v>-1.2355708425376129E-3</v>
      </c>
      <c r="I117" s="4">
        <f t="shared" si="15"/>
        <v>4.0728358689305896E-2</v>
      </c>
      <c r="J117" s="4">
        <f t="shared" si="11"/>
        <v>-1.4809120161055064E-2</v>
      </c>
      <c r="K117" s="4">
        <f t="shared" si="12"/>
        <v>-3.8604415243497004E-3</v>
      </c>
    </row>
    <row r="118" spans="1:11" x14ac:dyDescent="0.25">
      <c r="A118" s="1" t="s">
        <v>188</v>
      </c>
      <c r="B118" s="2">
        <v>173.518</v>
      </c>
      <c r="C118" s="2">
        <v>5.1427500000000004</v>
      </c>
      <c r="D118" s="2">
        <v>1002.5</v>
      </c>
      <c r="E118" s="2">
        <v>226.80099999999999</v>
      </c>
      <c r="F118" s="2">
        <v>2324.13</v>
      </c>
      <c r="G118" s="4">
        <f t="shared" si="13"/>
        <v>-5.0118086183376168E-2</v>
      </c>
      <c r="H118" s="4">
        <f t="shared" si="14"/>
        <v>1.0777818136320068E-2</v>
      </c>
      <c r="I118" s="4">
        <f t="shared" si="15"/>
        <v>3.5226704821506173E-2</v>
      </c>
      <c r="J118" s="4">
        <f t="shared" si="11"/>
        <v>2.202642870443889E-2</v>
      </c>
      <c r="K118" s="4">
        <f t="shared" si="12"/>
        <v>-3.7176836193521967E-2</v>
      </c>
    </row>
    <row r="119" spans="1:11" x14ac:dyDescent="0.25">
      <c r="A119" s="1" t="s">
        <v>189</v>
      </c>
      <c r="B119" s="2">
        <v>160.167</v>
      </c>
      <c r="C119" s="2">
        <v>5.1587899999999998</v>
      </c>
      <c r="D119" s="2">
        <v>1122.25</v>
      </c>
      <c r="E119" s="2">
        <v>236.58500000000001</v>
      </c>
      <c r="F119" s="2">
        <v>2205.4699999999998</v>
      </c>
      <c r="G119" s="4">
        <f t="shared" si="13"/>
        <v>-8.0064319497798575E-2</v>
      </c>
      <c r="H119" s="4">
        <f t="shared" si="14"/>
        <v>3.1141000204787804E-3</v>
      </c>
      <c r="I119" s="4">
        <f t="shared" si="15"/>
        <v>0.11283871848131725</v>
      </c>
      <c r="J119" s="4">
        <f t="shared" si="11"/>
        <v>4.2234570379265715E-2</v>
      </c>
      <c r="K119" s="4">
        <f t="shared" si="12"/>
        <v>-5.240513735045451E-2</v>
      </c>
    </row>
    <row r="120" spans="1:11" x14ac:dyDescent="0.25">
      <c r="A120" s="1" t="s">
        <v>190</v>
      </c>
      <c r="B120" s="2">
        <v>166.59299999999999</v>
      </c>
      <c r="C120" s="2">
        <v>5.1730299999999998</v>
      </c>
      <c r="D120" s="2">
        <v>984.75</v>
      </c>
      <c r="E120" s="2">
        <v>253.48400000000001</v>
      </c>
      <c r="F120" s="2">
        <v>2191.12</v>
      </c>
      <c r="G120" s="4">
        <f t="shared" si="13"/>
        <v>3.9336691137764231E-2</v>
      </c>
      <c r="H120" s="4">
        <f t="shared" si="14"/>
        <v>2.756534476377713E-3</v>
      </c>
      <c r="I120" s="4">
        <f t="shared" si="15"/>
        <v>-0.1307030758110263</v>
      </c>
      <c r="J120" s="4">
        <f t="shared" si="11"/>
        <v>6.8993153274289093E-2</v>
      </c>
      <c r="K120" s="4">
        <f t="shared" si="12"/>
        <v>-6.5278094874293415E-3</v>
      </c>
    </row>
    <row r="121" spans="1:11" x14ac:dyDescent="0.25">
      <c r="A121" s="1" t="s">
        <v>191</v>
      </c>
      <c r="B121" s="2">
        <v>190.755</v>
      </c>
      <c r="C121" s="2">
        <v>5.1674499999999997</v>
      </c>
      <c r="D121" s="2">
        <v>913.25</v>
      </c>
      <c r="E121" s="2">
        <v>254.7</v>
      </c>
      <c r="F121" s="2">
        <v>2192.0100000000002</v>
      </c>
      <c r="G121" s="4">
        <f t="shared" si="13"/>
        <v>0.13543617009753101</v>
      </c>
      <c r="H121" s="4">
        <f t="shared" si="14"/>
        <v>-1.0792536790606782E-3</v>
      </c>
      <c r="I121" s="4">
        <f t="shared" si="15"/>
        <v>-7.5378136175623361E-2</v>
      </c>
      <c r="J121" s="4">
        <f t="shared" si="11"/>
        <v>4.7856773169040953E-3</v>
      </c>
      <c r="K121" s="4">
        <f t="shared" si="12"/>
        <v>4.0610249398566843E-4</v>
      </c>
    </row>
    <row r="122" spans="1:11" x14ac:dyDescent="0.25">
      <c r="A122" s="1" t="s">
        <v>192</v>
      </c>
      <c r="B122" s="2">
        <v>210.334</v>
      </c>
      <c r="C122" s="2">
        <v>5.0429899999999996</v>
      </c>
      <c r="D122" s="2">
        <v>1013.02</v>
      </c>
      <c r="E122" s="2">
        <v>255</v>
      </c>
      <c r="F122" s="2">
        <v>2433.77</v>
      </c>
      <c r="G122" s="4">
        <f t="shared" si="13"/>
        <v>9.7706861299368397E-2</v>
      </c>
      <c r="H122" s="4">
        <f t="shared" si="14"/>
        <v>-2.4380176522278904E-2</v>
      </c>
      <c r="I122" s="4">
        <f t="shared" si="15"/>
        <v>0.10368158171501819</v>
      </c>
      <c r="J122" s="4">
        <f t="shared" si="11"/>
        <v>1.1771631730148311E-3</v>
      </c>
      <c r="K122" s="4">
        <f t="shared" si="12"/>
        <v>0.10462256432227761</v>
      </c>
    </row>
    <row r="123" spans="1:11" x14ac:dyDescent="0.25">
      <c r="A123" s="1" t="s">
        <v>193</v>
      </c>
      <c r="B123" s="2">
        <v>220.79599999999999</v>
      </c>
      <c r="C123" s="2">
        <v>5.0873600000000003</v>
      </c>
      <c r="D123" s="2">
        <v>925.25</v>
      </c>
      <c r="E123" s="2">
        <v>242.25</v>
      </c>
      <c r="F123" s="2">
        <v>2579.52</v>
      </c>
      <c r="G123" s="4">
        <f t="shared" si="13"/>
        <v>4.8542454856627434E-2</v>
      </c>
      <c r="H123" s="4">
        <f t="shared" si="14"/>
        <v>8.7598718165928409E-3</v>
      </c>
      <c r="I123" s="4">
        <f t="shared" si="15"/>
        <v>-9.0627276124144798E-2</v>
      </c>
      <c r="J123" s="4">
        <f t="shared" si="11"/>
        <v>-5.1293294387550578E-2</v>
      </c>
      <c r="K123" s="4">
        <f t="shared" si="12"/>
        <v>5.8161839671662816E-2</v>
      </c>
    </row>
    <row r="124" spans="1:11" x14ac:dyDescent="0.25">
      <c r="A124" s="1" t="s">
        <v>194</v>
      </c>
      <c r="B124" s="2">
        <v>211.03100000000001</v>
      </c>
      <c r="C124" s="2">
        <v>4.9969799999999998</v>
      </c>
      <c r="D124" s="2">
        <v>991.8</v>
      </c>
      <c r="E124" s="3">
        <v>220</v>
      </c>
      <c r="F124" s="3">
        <v>2689.05</v>
      </c>
      <c r="G124" s="4">
        <f t="shared" si="13"/>
        <v>-4.5234156181072072E-2</v>
      </c>
      <c r="H124" s="4">
        <f t="shared" si="14"/>
        <v>-1.7925302009938741E-2</v>
      </c>
      <c r="I124" s="4">
        <f t="shared" si="15"/>
        <v>6.9457502788768166E-2</v>
      </c>
      <c r="J124" s="4">
        <f t="shared" si="11"/>
        <v>-9.63427044185141E-2</v>
      </c>
      <c r="K124" s="4">
        <f t="shared" si="12"/>
        <v>4.1584636273721137E-2</v>
      </c>
    </row>
    <row r="125" spans="1:11" x14ac:dyDescent="0.25">
      <c r="A125" s="1" t="s">
        <v>195</v>
      </c>
      <c r="B125" s="2">
        <v>232.05500000000001</v>
      </c>
      <c r="C125" s="2">
        <v>5.0323200000000003</v>
      </c>
      <c r="D125" s="2">
        <v>944.77499999999998</v>
      </c>
      <c r="E125" s="2">
        <v>213.65</v>
      </c>
      <c r="F125" s="2">
        <v>2737.86</v>
      </c>
      <c r="G125" s="4">
        <f t="shared" si="13"/>
        <v>9.4969370419676916E-2</v>
      </c>
      <c r="H125" s="4">
        <f t="shared" si="14"/>
        <v>7.0473804283420595E-3</v>
      </c>
      <c r="I125" s="4">
        <f t="shared" si="15"/>
        <v>-4.8574670148557153E-2</v>
      </c>
      <c r="J125" s="4">
        <f t="shared" si="11"/>
        <v>-2.9288384262327528E-2</v>
      </c>
      <c r="K125" s="4">
        <f t="shared" si="12"/>
        <v>1.798862195884628E-2</v>
      </c>
    </row>
    <row r="126" spans="1:11" x14ac:dyDescent="0.25">
      <c r="A126" s="1" t="s">
        <v>196</v>
      </c>
      <c r="B126" s="2">
        <v>220.995</v>
      </c>
      <c r="C126" s="2">
        <v>5.0413600000000001</v>
      </c>
      <c r="D126" s="2">
        <v>974.36800000000005</v>
      </c>
      <c r="E126" s="2">
        <v>227.3</v>
      </c>
      <c r="F126" s="2">
        <v>2771.86</v>
      </c>
      <c r="G126" s="4">
        <f t="shared" si="13"/>
        <v>-4.8834335707993171E-2</v>
      </c>
      <c r="H126" s="4">
        <f t="shared" si="14"/>
        <v>1.7947765715515735E-3</v>
      </c>
      <c r="I126" s="4">
        <f t="shared" si="15"/>
        <v>3.0842251787392163E-2</v>
      </c>
      <c r="J126" s="4">
        <f t="shared" si="11"/>
        <v>6.1931568768463632E-2</v>
      </c>
      <c r="K126" s="4">
        <f t="shared" si="12"/>
        <v>1.2341981656062064E-2</v>
      </c>
    </row>
    <row r="127" spans="1:11" x14ac:dyDescent="0.25">
      <c r="A127" s="1" t="s">
        <v>197</v>
      </c>
      <c r="B127" s="2">
        <v>280.8</v>
      </c>
      <c r="C127" s="2">
        <v>4.94611</v>
      </c>
      <c r="D127" s="2">
        <v>1104.42</v>
      </c>
      <c r="E127" s="2">
        <v>230.75</v>
      </c>
      <c r="F127" s="2">
        <v>2845.37</v>
      </c>
      <c r="G127" s="4">
        <f t="shared" si="13"/>
        <v>0.2395025953242288</v>
      </c>
      <c r="H127" s="4">
        <f t="shared" si="14"/>
        <v>-1.9074477906499878E-2</v>
      </c>
      <c r="I127" s="4">
        <f t="shared" si="15"/>
        <v>0.12528653357881731</v>
      </c>
      <c r="J127" s="4">
        <f t="shared" si="11"/>
        <v>1.5064142524463878E-2</v>
      </c>
      <c r="K127" s="4">
        <f t="shared" si="12"/>
        <v>2.6174536844520466E-2</v>
      </c>
    </row>
    <row r="128" spans="1:11" x14ac:dyDescent="0.25">
      <c r="A128" s="1" t="s">
        <v>198</v>
      </c>
      <c r="B128" s="2">
        <v>251.2</v>
      </c>
      <c r="C128" s="2">
        <v>4.9458000000000002</v>
      </c>
      <c r="D128" s="2">
        <v>1202.97</v>
      </c>
      <c r="E128" s="2">
        <v>247.5</v>
      </c>
      <c r="F128" s="2">
        <v>2950.42</v>
      </c>
      <c r="G128" s="4">
        <f t="shared" si="13"/>
        <v>-0.11139323755761248</v>
      </c>
      <c r="H128" s="4">
        <f t="shared" si="14"/>
        <v>-6.2677480911393576E-5</v>
      </c>
      <c r="I128" s="4">
        <f t="shared" si="15"/>
        <v>8.547318873518428E-2</v>
      </c>
      <c r="J128" s="4">
        <f t="shared" si="11"/>
        <v>7.0075708625783384E-2</v>
      </c>
      <c r="K128" s="4">
        <f t="shared" si="12"/>
        <v>3.6254421252778363E-2</v>
      </c>
    </row>
    <row r="129" spans="1:11" x14ac:dyDescent="0.25">
      <c r="A129" s="1" t="s">
        <v>199</v>
      </c>
      <c r="B129" s="2">
        <v>252</v>
      </c>
      <c r="C129" s="2">
        <v>4.9250600000000002</v>
      </c>
      <c r="D129" s="2">
        <v>1111.82</v>
      </c>
      <c r="E129" s="2">
        <v>243.8</v>
      </c>
      <c r="F129" s="2">
        <v>2793.76</v>
      </c>
      <c r="G129" s="4">
        <f t="shared" si="13"/>
        <v>3.1796529173798056E-3</v>
      </c>
      <c r="H129" s="4">
        <f t="shared" si="14"/>
        <v>-4.2022742741398347E-3</v>
      </c>
      <c r="I129" s="4">
        <f t="shared" si="15"/>
        <v>-7.8795186803383432E-2</v>
      </c>
      <c r="J129" s="4">
        <f t="shared" si="11"/>
        <v>-1.5062364961573827E-2</v>
      </c>
      <c r="K129" s="4">
        <f t="shared" si="12"/>
        <v>-5.4559174307347233E-2</v>
      </c>
    </row>
    <row r="130" spans="1:11" x14ac:dyDescent="0.25">
      <c r="A130" s="1" t="s">
        <v>200</v>
      </c>
      <c r="B130" s="2">
        <v>270.5</v>
      </c>
      <c r="C130" s="2">
        <v>4.88741</v>
      </c>
      <c r="D130" s="2">
        <v>1260</v>
      </c>
      <c r="E130" s="2">
        <v>250.85</v>
      </c>
      <c r="F130" s="2">
        <v>2827.17</v>
      </c>
      <c r="G130" s="4">
        <f t="shared" si="13"/>
        <v>7.0843010775112875E-2</v>
      </c>
      <c r="H130" s="4">
        <f t="shared" si="14"/>
        <v>-7.6739464712721811E-3</v>
      </c>
      <c r="I130" s="4">
        <f t="shared" si="15"/>
        <v>0.12511340874103702</v>
      </c>
      <c r="J130" s="4">
        <f t="shared" si="11"/>
        <v>2.8506933883090845E-2</v>
      </c>
      <c r="K130" s="4">
        <f t="shared" si="12"/>
        <v>1.1887852529882302E-2</v>
      </c>
    </row>
    <row r="131" spans="1:11" x14ac:dyDescent="0.25">
      <c r="A131" s="1" t="s">
        <v>201</v>
      </c>
      <c r="B131" s="2">
        <v>253.8</v>
      </c>
      <c r="C131" s="2">
        <v>4.8510400000000002</v>
      </c>
      <c r="D131" s="2">
        <v>1439.89</v>
      </c>
      <c r="E131" s="2">
        <v>261.89999999999998</v>
      </c>
      <c r="F131" s="2">
        <v>2987.33</v>
      </c>
      <c r="G131" s="4">
        <f t="shared" si="13"/>
        <v>-6.3725543006248886E-2</v>
      </c>
      <c r="H131" s="4">
        <f t="shared" si="14"/>
        <v>-7.4693958680726764E-3</v>
      </c>
      <c r="I131" s="4">
        <f t="shared" si="15"/>
        <v>0.13345500081785397</v>
      </c>
      <c r="J131" s="4">
        <f t="shared" si="11"/>
        <v>4.3107600583404161E-2</v>
      </c>
      <c r="K131" s="4">
        <f t="shared" si="12"/>
        <v>5.5103800551295122E-2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A2D7-9AF2-4DDF-A9B3-BF939472A719}">
  <dimension ref="A1:E5"/>
  <sheetViews>
    <sheetView workbookViewId="0">
      <selection activeCell="C16" sqref="C16"/>
    </sheetView>
  </sheetViews>
  <sheetFormatPr defaultRowHeight="15" x14ac:dyDescent="0.25"/>
  <cols>
    <col min="1" max="1" width="9.7109375" bestFit="1" customWidth="1"/>
    <col min="2" max="4" width="12.7109375" bestFit="1" customWidth="1"/>
    <col min="5" max="5" width="12" bestFit="1" customWidth="1"/>
  </cols>
  <sheetData>
    <row r="1" spans="1:5" x14ac:dyDescent="0.25">
      <c r="A1" s="22"/>
      <c r="B1" s="22" t="s">
        <v>5</v>
      </c>
      <c r="C1" s="22" t="s">
        <v>6</v>
      </c>
      <c r="D1" s="22" t="s">
        <v>7</v>
      </c>
      <c r="E1" s="22" t="s">
        <v>8</v>
      </c>
    </row>
    <row r="2" spans="1:5" x14ac:dyDescent="0.25">
      <c r="A2" s="5" t="s">
        <v>5</v>
      </c>
      <c r="B2" s="5">
        <v>1</v>
      </c>
      <c r="C2" s="5">
        <v>-2.7082577464148151E-2</v>
      </c>
      <c r="D2" s="5">
        <v>-6.6532963386310193E-2</v>
      </c>
      <c r="E2" s="5">
        <v>0.18528726439348547</v>
      </c>
    </row>
    <row r="3" spans="1:5" x14ac:dyDescent="0.25">
      <c r="A3" s="5" t="s">
        <v>6</v>
      </c>
      <c r="B3" s="5">
        <v>-2.7082577464148151E-2</v>
      </c>
      <c r="C3" s="5">
        <v>1</v>
      </c>
      <c r="D3" s="5">
        <v>1.9930181101254739E-2</v>
      </c>
      <c r="E3" s="5">
        <v>0.43502372180680482</v>
      </c>
    </row>
    <row r="4" spans="1:5" x14ac:dyDescent="0.25">
      <c r="A4" s="5" t="s">
        <v>7</v>
      </c>
      <c r="B4" s="5">
        <v>-6.6532963386310193E-2</v>
      </c>
      <c r="C4" s="5">
        <v>1.9930181101254739E-2</v>
      </c>
      <c r="D4" s="5">
        <v>1</v>
      </c>
      <c r="E4" s="5">
        <v>5.8735318153808287E-2</v>
      </c>
    </row>
    <row r="5" spans="1:5" x14ac:dyDescent="0.25">
      <c r="A5" s="5" t="s">
        <v>8</v>
      </c>
      <c r="B5" s="5">
        <v>0.18528726439348547</v>
      </c>
      <c r="C5" s="5">
        <v>0.43502372180680482</v>
      </c>
      <c r="D5" s="5">
        <v>5.8735318153808287E-2</v>
      </c>
      <c r="E5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9006-7F63-4C4A-8991-EF6B43697ACD}">
  <dimension ref="A1:G15"/>
  <sheetViews>
    <sheetView workbookViewId="0">
      <selection activeCell="J24" sqref="J24"/>
    </sheetView>
  </sheetViews>
  <sheetFormatPr defaultRowHeight="15" x14ac:dyDescent="0.25"/>
  <cols>
    <col min="1" max="1" width="23.5703125" bestFit="1" customWidth="1"/>
    <col min="2" max="2" width="9.85546875" customWidth="1"/>
    <col min="3" max="3" width="10.85546875" customWidth="1"/>
    <col min="4" max="4" width="11.140625" customWidth="1"/>
    <col min="5" max="5" width="11.42578125" customWidth="1"/>
  </cols>
  <sheetData>
    <row r="1" spans="1:7" x14ac:dyDescent="0.25">
      <c r="A1" s="5"/>
      <c r="B1" s="18" t="s">
        <v>1</v>
      </c>
      <c r="C1" s="19" t="s">
        <v>2</v>
      </c>
      <c r="D1" s="20" t="s">
        <v>3</v>
      </c>
      <c r="E1" s="21" t="s">
        <v>4</v>
      </c>
    </row>
    <row r="2" spans="1:7" x14ac:dyDescent="0.25">
      <c r="A2" s="5" t="s">
        <v>9</v>
      </c>
      <c r="B2" s="6">
        <v>2.1923383150075897E-2</v>
      </c>
      <c r="C2" s="9">
        <v>-1.0812078533504502E-3</v>
      </c>
      <c r="D2" s="12">
        <v>4.8546993330137091E-3</v>
      </c>
      <c r="E2" s="15">
        <v>1.0826715858485641E-2</v>
      </c>
    </row>
    <row r="3" spans="1:7" x14ac:dyDescent="0.25">
      <c r="A3" s="5" t="s">
        <v>10</v>
      </c>
      <c r="B3" s="6">
        <v>1.0485411962937164E-2</v>
      </c>
      <c r="C3" s="9">
        <v>2.0649553660195908E-3</v>
      </c>
      <c r="D3" s="12">
        <v>7.9622787688347595E-3</v>
      </c>
      <c r="E3" s="15">
        <v>3.7311929483289405E-3</v>
      </c>
      <c r="F3" t="s">
        <v>23</v>
      </c>
      <c r="G3" t="s">
        <v>22</v>
      </c>
    </row>
    <row r="4" spans="1:7" x14ac:dyDescent="0.25">
      <c r="A4" s="5" t="s">
        <v>11</v>
      </c>
      <c r="B4" s="6">
        <v>3.5465561909510328E-2</v>
      </c>
      <c r="C4" s="9">
        <v>-1.0792536790606782E-3</v>
      </c>
      <c r="D4" s="12">
        <v>2.3160682164008597E-2</v>
      </c>
      <c r="E4" s="15">
        <v>9.6676366157741681E-3</v>
      </c>
    </row>
    <row r="5" spans="1:7" x14ac:dyDescent="0.25">
      <c r="A5" s="5" t="s">
        <v>12</v>
      </c>
      <c r="B5" s="6">
        <v>0.11909138701095578</v>
      </c>
      <c r="C5" s="9">
        <v>2.3453384523587424E-2</v>
      </c>
      <c r="D5" s="12">
        <v>9.0434102703848093E-2</v>
      </c>
      <c r="E5" s="15">
        <v>4.2378205548112696E-2</v>
      </c>
      <c r="F5" t="s">
        <v>21</v>
      </c>
      <c r="G5" t="s">
        <v>22</v>
      </c>
    </row>
    <row r="6" spans="1:7" x14ac:dyDescent="0.25">
      <c r="A6" s="5" t="s">
        <v>13</v>
      </c>
      <c r="B6" s="7">
        <v>1.4182758460193248E-2</v>
      </c>
      <c r="C6" s="10">
        <v>5.5006124561125011E-4</v>
      </c>
      <c r="D6" s="13">
        <v>8.1783269318501453E-3</v>
      </c>
      <c r="E6" s="16">
        <v>1.7959123054780899E-3</v>
      </c>
    </row>
    <row r="7" spans="1:7" x14ac:dyDescent="0.25">
      <c r="A7" s="5" t="s">
        <v>14</v>
      </c>
      <c r="B7" s="7">
        <v>0.83439887986600381</v>
      </c>
      <c r="C7" s="10">
        <v>2.255821184915408</v>
      </c>
      <c r="D7" s="13">
        <v>-0.2010511656623537</v>
      </c>
      <c r="E7" s="16">
        <v>0.33052981786155566</v>
      </c>
    </row>
    <row r="8" spans="1:7" x14ac:dyDescent="0.25">
      <c r="A8" s="5" t="s">
        <v>15</v>
      </c>
      <c r="B8" s="7">
        <v>-0.38622235854831455</v>
      </c>
      <c r="C8" s="10">
        <v>2.2272333103181465E-2</v>
      </c>
      <c r="D8" s="13">
        <v>-0.3053478153692416</v>
      </c>
      <c r="E8" s="16">
        <v>-5.7750671430181824E-2</v>
      </c>
    </row>
    <row r="9" spans="1:7" x14ac:dyDescent="0.25">
      <c r="A9" s="5" t="s">
        <v>16</v>
      </c>
      <c r="B9" s="6">
        <v>0.69406505551568953</v>
      </c>
      <c r="C9" s="9">
        <v>0.1779259348688248</v>
      </c>
      <c r="D9" s="12">
        <v>0.47025240321819151</v>
      </c>
      <c r="E9" s="15">
        <v>0.22754000292635909</v>
      </c>
      <c r="F9" t="s">
        <v>21</v>
      </c>
      <c r="G9" t="s">
        <v>22</v>
      </c>
    </row>
    <row r="10" spans="1:7" x14ac:dyDescent="0.25">
      <c r="A10" s="5" t="s">
        <v>17</v>
      </c>
      <c r="B10" s="6">
        <v>-0.36193543640361053</v>
      </c>
      <c r="C10" s="9">
        <v>-8.6987013201002092E-2</v>
      </c>
      <c r="D10" s="12">
        <v>-0.25510361641781554</v>
      </c>
      <c r="E10" s="15">
        <v>-0.10254052340364476</v>
      </c>
    </row>
    <row r="11" spans="1:7" x14ac:dyDescent="0.25">
      <c r="A11" s="5" t="s">
        <v>18</v>
      </c>
      <c r="B11" s="6">
        <v>0.33212961911207906</v>
      </c>
      <c r="C11" s="9">
        <v>9.0938921667822706E-2</v>
      </c>
      <c r="D11" s="12">
        <v>0.215148786800376</v>
      </c>
      <c r="E11" s="15">
        <v>0.12499947952271433</v>
      </c>
    </row>
    <row r="12" spans="1:7" x14ac:dyDescent="0.25">
      <c r="A12" s="5" t="s">
        <v>19</v>
      </c>
      <c r="B12" s="6">
        <v>2.8281164263597907</v>
      </c>
      <c r="C12" s="9">
        <v>-0.13947581308220808</v>
      </c>
      <c r="D12" s="12">
        <v>0.62625621395876852</v>
      </c>
      <c r="E12" s="15">
        <v>1.3966463457446476</v>
      </c>
    </row>
    <row r="13" spans="1:7" x14ac:dyDescent="0.25">
      <c r="A13" s="5" t="s">
        <v>20</v>
      </c>
      <c r="B13" s="8">
        <v>129</v>
      </c>
      <c r="C13" s="11">
        <v>129</v>
      </c>
      <c r="D13" s="14">
        <v>129</v>
      </c>
      <c r="E13" s="17">
        <v>129</v>
      </c>
    </row>
    <row r="15" spans="1:7" x14ac:dyDescent="0.25">
      <c r="A15" s="25" t="s">
        <v>39</v>
      </c>
      <c r="B15" s="26">
        <f>0.1*B2</f>
        <v>2.1923383150075897E-3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C87A-36D0-41D9-9775-A4491BCD5FD4}">
  <dimension ref="A1:AD66"/>
  <sheetViews>
    <sheetView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9.140625" customWidth="1"/>
    <col min="3" max="3" width="6.85546875" customWidth="1"/>
    <col min="4" max="4" width="9.140625" customWidth="1"/>
    <col min="5" max="5" width="9.5703125" bestFit="1" customWidth="1"/>
    <col min="6" max="7" width="9.140625" bestFit="1" customWidth="1"/>
    <col min="8" max="8" width="36.140625" bestFit="1" customWidth="1"/>
    <col min="30" max="30" width="36.140625" bestFit="1" customWidth="1"/>
  </cols>
  <sheetData>
    <row r="1" spans="1:30" x14ac:dyDescent="0.25">
      <c r="A1" s="33" t="s">
        <v>43</v>
      </c>
      <c r="B1" s="34"/>
      <c r="C1" s="34"/>
      <c r="D1" s="34"/>
      <c r="E1" s="34"/>
      <c r="F1" s="34"/>
      <c r="G1" s="34"/>
      <c r="H1" s="35"/>
      <c r="W1" s="33" t="s">
        <v>44</v>
      </c>
      <c r="X1" s="34"/>
      <c r="Y1" s="34"/>
      <c r="Z1" s="34"/>
      <c r="AA1" s="34"/>
      <c r="AB1" s="34"/>
      <c r="AC1" s="34"/>
      <c r="AD1" s="35"/>
    </row>
    <row r="2" spans="1:30" x14ac:dyDescent="0.25">
      <c r="A2" t="s">
        <v>41</v>
      </c>
      <c r="B2" t="s">
        <v>35</v>
      </c>
      <c r="C2" t="s">
        <v>3</v>
      </c>
      <c r="D2" t="s">
        <v>4</v>
      </c>
      <c r="E2" t="s">
        <v>24</v>
      </c>
      <c r="F2" t="s">
        <v>25</v>
      </c>
      <c r="G2" t="s">
        <v>26</v>
      </c>
      <c r="H2" t="s">
        <v>27</v>
      </c>
      <c r="W2" t="s">
        <v>41</v>
      </c>
      <c r="X2" t="s">
        <v>35</v>
      </c>
      <c r="Y2" t="s">
        <v>3</v>
      </c>
      <c r="Z2" t="s">
        <v>4</v>
      </c>
      <c r="AA2" t="s">
        <v>24</v>
      </c>
      <c r="AB2" t="s">
        <v>25</v>
      </c>
      <c r="AC2" t="s">
        <v>26</v>
      </c>
      <c r="AD2" t="s">
        <v>27</v>
      </c>
    </row>
    <row r="3" spans="1:30" x14ac:dyDescent="0.25">
      <c r="A3" s="24">
        <v>0.04</v>
      </c>
      <c r="B3" s="24">
        <v>0.86</v>
      </c>
      <c r="C3" s="24">
        <v>0.06</v>
      </c>
      <c r="D3" s="24">
        <v>0.04</v>
      </c>
      <c r="E3" s="23">
        <v>6.71447158527132E-4</v>
      </c>
      <c r="F3" s="23">
        <v>2.2166914365758301E-2</v>
      </c>
      <c r="G3" s="23">
        <v>-6.8610864317016504E-2</v>
      </c>
      <c r="H3" t="s">
        <v>28</v>
      </c>
      <c r="W3" s="24">
        <v>0.04</v>
      </c>
      <c r="X3" s="24">
        <v>0.86</v>
      </c>
      <c r="Y3" s="24">
        <v>0.06</v>
      </c>
      <c r="Z3" s="24">
        <v>0.04</v>
      </c>
      <c r="AA3" s="23">
        <v>6.71447158527132E-4</v>
      </c>
      <c r="AB3" s="23">
        <v>2.2166914365758301E-2</v>
      </c>
      <c r="AC3" s="23">
        <v>-6.8610864317016504E-2</v>
      </c>
      <c r="AD3" t="s">
        <v>28</v>
      </c>
    </row>
    <row r="4" spans="1:30" x14ac:dyDescent="0.25">
      <c r="A4" s="24">
        <v>0.2</v>
      </c>
      <c r="B4" s="24">
        <v>0</v>
      </c>
      <c r="C4" s="24">
        <v>0.06</v>
      </c>
      <c r="D4" s="24">
        <v>0.74</v>
      </c>
      <c r="E4" s="23">
        <v>1.2687728351162801E-2</v>
      </c>
      <c r="F4" s="23">
        <v>4.3125185666562003E-2</v>
      </c>
      <c r="G4" s="23">
        <v>0.243370315432578</v>
      </c>
      <c r="H4" t="s">
        <v>45</v>
      </c>
      <c r="K4" t="s">
        <v>36</v>
      </c>
      <c r="W4" s="24">
        <v>0.31</v>
      </c>
      <c r="X4" s="24">
        <v>-0.49</v>
      </c>
      <c r="Y4" s="24">
        <v>0.18</v>
      </c>
      <c r="Z4" s="24">
        <v>1</v>
      </c>
      <c r="AA4" s="23">
        <v>1.9026602403992201E-2</v>
      </c>
      <c r="AB4" s="23">
        <v>6.1061961091264903E-2</v>
      </c>
      <c r="AC4" s="23">
        <v>0.27569150729417602</v>
      </c>
      <c r="AD4" t="s">
        <v>45</v>
      </c>
    </row>
    <row r="5" spans="1:30" x14ac:dyDescent="0.25">
      <c r="A5" s="24">
        <v>1</v>
      </c>
      <c r="B5" s="24">
        <v>0</v>
      </c>
      <c r="C5" s="24">
        <v>0</v>
      </c>
      <c r="D5" s="24">
        <v>0</v>
      </c>
      <c r="E5" s="23">
        <v>2.1923383124030998E-2</v>
      </c>
      <c r="F5" s="23">
        <v>0.11909138699022299</v>
      </c>
      <c r="G5" s="23">
        <v>0.16567986409670199</v>
      </c>
      <c r="H5" t="s">
        <v>30</v>
      </c>
      <c r="W5" s="24">
        <v>1</v>
      </c>
      <c r="X5" s="24">
        <v>-1</v>
      </c>
      <c r="Y5" s="24">
        <v>0</v>
      </c>
      <c r="Z5" s="24">
        <v>1</v>
      </c>
      <c r="AA5" s="23">
        <v>3.3831306887596897E-2</v>
      </c>
      <c r="AB5" s="23">
        <v>0.13298689592023799</v>
      </c>
      <c r="AC5" s="23">
        <v>0.237910422348454</v>
      </c>
      <c r="AD5" t="s">
        <v>30</v>
      </c>
    </row>
    <row r="6" spans="1:30" x14ac:dyDescent="0.25">
      <c r="A6" s="24">
        <v>1</v>
      </c>
      <c r="B6" s="24">
        <v>0</v>
      </c>
      <c r="C6" s="24">
        <v>0</v>
      </c>
      <c r="D6" s="24">
        <v>0</v>
      </c>
      <c r="E6" s="23">
        <v>2.1923383124030998E-2</v>
      </c>
      <c r="F6" s="23">
        <v>0.11909138699022299</v>
      </c>
      <c r="G6" s="23">
        <v>0.16567986409670199</v>
      </c>
      <c r="H6" t="s">
        <v>31</v>
      </c>
      <c r="W6" s="24">
        <v>1</v>
      </c>
      <c r="X6" s="24">
        <v>0</v>
      </c>
      <c r="Y6" s="24">
        <v>0</v>
      </c>
      <c r="Z6" s="24">
        <v>0</v>
      </c>
      <c r="AA6" s="23">
        <v>2.1923383124030998E-2</v>
      </c>
      <c r="AB6" s="23">
        <v>0.11909138699022299</v>
      </c>
      <c r="AC6" s="23">
        <v>0.16567986409670199</v>
      </c>
      <c r="AD6" t="s">
        <v>31</v>
      </c>
    </row>
    <row r="7" spans="1:30" x14ac:dyDescent="0.25">
      <c r="A7" s="24">
        <v>0</v>
      </c>
      <c r="B7" s="24">
        <v>1</v>
      </c>
      <c r="C7" s="24">
        <v>0</v>
      </c>
      <c r="D7" s="24">
        <v>0</v>
      </c>
      <c r="E7" s="23">
        <v>-1.0812078643410901E-3</v>
      </c>
      <c r="F7" s="23">
        <v>2.3453384534282098E-2</v>
      </c>
      <c r="G7" s="23">
        <v>-0.13957670680575801</v>
      </c>
      <c r="H7" t="s">
        <v>32</v>
      </c>
      <c r="W7" s="24">
        <v>0</v>
      </c>
      <c r="X7" s="24">
        <v>1</v>
      </c>
      <c r="Y7" s="24">
        <v>0</v>
      </c>
      <c r="Z7" s="24">
        <v>0</v>
      </c>
      <c r="AA7" s="23">
        <v>-1.0812078643410901E-3</v>
      </c>
      <c r="AB7" s="23">
        <v>2.3453384534282098E-2</v>
      </c>
      <c r="AC7" s="23">
        <v>-0.13957670680575801</v>
      </c>
      <c r="AD7" t="s">
        <v>32</v>
      </c>
    </row>
    <row r="8" spans="1:30" x14ac:dyDescent="0.25">
      <c r="A8" s="24">
        <v>0</v>
      </c>
      <c r="B8" s="24">
        <v>0</v>
      </c>
      <c r="C8" s="24">
        <v>1</v>
      </c>
      <c r="D8" s="24">
        <v>0</v>
      </c>
      <c r="E8" s="23">
        <v>4.8546993488372096E-3</v>
      </c>
      <c r="F8" s="23">
        <v>9.04341026681868E-2</v>
      </c>
      <c r="G8" s="23">
        <v>2.9439790498089199E-2</v>
      </c>
      <c r="H8" t="s">
        <v>33</v>
      </c>
      <c r="W8" s="24">
        <v>0</v>
      </c>
      <c r="X8" s="24">
        <v>0</v>
      </c>
      <c r="Y8" s="24">
        <v>1</v>
      </c>
      <c r="Z8" s="24">
        <v>0</v>
      </c>
      <c r="AA8" s="23">
        <v>4.8546993488372096E-3</v>
      </c>
      <c r="AB8" s="23">
        <v>9.04341026681868E-2</v>
      </c>
      <c r="AC8" s="23">
        <v>2.9439790498089199E-2</v>
      </c>
      <c r="AD8" t="s">
        <v>33</v>
      </c>
    </row>
    <row r="9" spans="1:30" x14ac:dyDescent="0.25">
      <c r="A9" s="24">
        <v>0</v>
      </c>
      <c r="B9" s="24">
        <v>0</v>
      </c>
      <c r="C9" s="24">
        <v>0</v>
      </c>
      <c r="D9" s="24">
        <v>1</v>
      </c>
      <c r="E9" s="23">
        <v>1.0826715899224799E-2</v>
      </c>
      <c r="F9" s="23">
        <v>4.2378205532613601E-2</v>
      </c>
      <c r="G9" s="23">
        <v>0.20374571028442501</v>
      </c>
      <c r="H9" t="s">
        <v>34</v>
      </c>
      <c r="W9" s="24">
        <v>0</v>
      </c>
      <c r="X9" s="24">
        <v>0</v>
      </c>
      <c r="Y9" s="24">
        <v>0</v>
      </c>
      <c r="Z9" s="24">
        <v>1</v>
      </c>
      <c r="AA9" s="23">
        <v>1.0826715899224799E-2</v>
      </c>
      <c r="AB9" s="23">
        <v>4.2378205532613601E-2</v>
      </c>
      <c r="AC9" s="23">
        <v>0.20374571028442501</v>
      </c>
      <c r="AD9" t="s">
        <v>34</v>
      </c>
    </row>
    <row r="10" spans="1:30" x14ac:dyDescent="0.25">
      <c r="A10" s="24">
        <v>0.25</v>
      </c>
      <c r="B10" s="24">
        <v>0.25</v>
      </c>
      <c r="C10" s="24">
        <v>0.25</v>
      </c>
      <c r="D10" s="24">
        <v>0.25</v>
      </c>
      <c r="E10" s="23">
        <v>9.1308980000000001E-3</v>
      </c>
      <c r="F10" s="23">
        <v>4.0614339999999999E-2</v>
      </c>
      <c r="G10" s="23">
        <v>0.17084009999999999</v>
      </c>
      <c r="H10" t="s">
        <v>40</v>
      </c>
    </row>
    <row r="24" spans="11:11" x14ac:dyDescent="0.25">
      <c r="K24" t="s">
        <v>37</v>
      </c>
    </row>
    <row r="44" spans="11:11" x14ac:dyDescent="0.25">
      <c r="K44" t="s">
        <v>42</v>
      </c>
    </row>
    <row r="66" spans="11:11" x14ac:dyDescent="0.25">
      <c r="K66" t="s">
        <v>38</v>
      </c>
    </row>
  </sheetData>
  <mergeCells count="2">
    <mergeCell ref="A1:H1"/>
    <mergeCell ref="W1:A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B925-39AD-4DD2-9127-9CE4CAD49D94}">
  <dimension ref="A1:AK64"/>
  <sheetViews>
    <sheetView workbookViewId="0">
      <selection activeCell="AH55" sqref="AH55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7.7109375" customWidth="1"/>
    <col min="4" max="4" width="10.140625" bestFit="1" customWidth="1"/>
    <col min="8" max="8" width="27.85546875" bestFit="1" customWidth="1"/>
    <col min="26" max="26" width="15.42578125" bestFit="1" customWidth="1"/>
    <col min="27" max="27" width="13.85546875" bestFit="1" customWidth="1"/>
    <col min="28" max="28" width="8.140625" customWidth="1"/>
    <col min="29" max="29" width="10.140625" bestFit="1" customWidth="1"/>
    <col min="33" max="33" width="27.85546875" bestFit="1" customWidth="1"/>
  </cols>
  <sheetData>
    <row r="1" spans="1:37" x14ac:dyDescent="0.25">
      <c r="A1" s="30">
        <v>2015</v>
      </c>
      <c r="K1" s="29" t="s">
        <v>56</v>
      </c>
      <c r="Z1" s="30">
        <v>2015</v>
      </c>
      <c r="AK1" s="29" t="s">
        <v>69</v>
      </c>
    </row>
    <row r="2" spans="1:37" x14ac:dyDescent="0.25">
      <c r="A2" t="s">
        <v>53</v>
      </c>
      <c r="B2" t="s">
        <v>54</v>
      </c>
      <c r="C2" t="s">
        <v>3</v>
      </c>
      <c r="D2" t="s">
        <v>55</v>
      </c>
      <c r="E2" t="s">
        <v>24</v>
      </c>
      <c r="F2" t="s">
        <v>25</v>
      </c>
      <c r="G2" t="s">
        <v>26</v>
      </c>
      <c r="H2" t="s">
        <v>27</v>
      </c>
      <c r="Z2" t="s">
        <v>53</v>
      </c>
      <c r="AA2" t="s">
        <v>54</v>
      </c>
      <c r="AB2" t="s">
        <v>3</v>
      </c>
      <c r="AC2" t="s">
        <v>55</v>
      </c>
      <c r="AD2" t="s">
        <v>24</v>
      </c>
      <c r="AE2" t="s">
        <v>25</v>
      </c>
      <c r="AF2" t="s">
        <v>26</v>
      </c>
      <c r="AG2" t="s">
        <v>27</v>
      </c>
    </row>
    <row r="3" spans="1:37" x14ac:dyDescent="0.25">
      <c r="A3" s="24">
        <v>0</v>
      </c>
      <c r="B3" s="24">
        <v>0.88</v>
      </c>
      <c r="C3" s="24">
        <v>0.12</v>
      </c>
      <c r="D3" s="24">
        <v>0</v>
      </c>
      <c r="E3" s="23">
        <v>-5.0323721454545401E-4</v>
      </c>
      <c r="F3" s="23">
        <v>2.4863775366373998E-2</v>
      </c>
      <c r="G3" s="23">
        <v>-0.13461708090102101</v>
      </c>
      <c r="H3" t="s">
        <v>28</v>
      </c>
      <c r="Z3" s="24">
        <v>0</v>
      </c>
      <c r="AA3" s="24">
        <v>0.88</v>
      </c>
      <c r="AB3" s="24">
        <v>0.12</v>
      </c>
      <c r="AC3" s="24">
        <v>0</v>
      </c>
      <c r="AD3" s="23">
        <v>-5.0323721454545401E-4</v>
      </c>
      <c r="AE3" s="23">
        <v>2.4863775366373998E-2</v>
      </c>
      <c r="AF3" s="23">
        <v>-0.13461708090102101</v>
      </c>
      <c r="AG3" t="s">
        <v>28</v>
      </c>
    </row>
    <row r="4" spans="1:37" x14ac:dyDescent="0.25">
      <c r="A4" s="24">
        <v>0.61</v>
      </c>
      <c r="B4" s="24">
        <v>0</v>
      </c>
      <c r="C4" s="24">
        <v>0</v>
      </c>
      <c r="D4" s="24">
        <v>0.39</v>
      </c>
      <c r="E4" s="23">
        <v>2.0618490450909101E-2</v>
      </c>
      <c r="F4" s="23">
        <v>6.4184205664651703E-2</v>
      </c>
      <c r="G4" s="23">
        <v>0.27693166288172399</v>
      </c>
      <c r="H4" t="s">
        <v>29</v>
      </c>
      <c r="Z4" s="24">
        <v>0.61</v>
      </c>
      <c r="AA4" s="24">
        <v>0</v>
      </c>
      <c r="AB4" s="24">
        <v>0</v>
      </c>
      <c r="AC4" s="24">
        <v>0.39</v>
      </c>
      <c r="AD4" s="23">
        <v>2.0618490450909101E-2</v>
      </c>
      <c r="AE4" s="23">
        <v>6.4184205664651703E-2</v>
      </c>
      <c r="AF4" s="23">
        <v>0.27693166288172399</v>
      </c>
      <c r="AG4" t="s">
        <v>29</v>
      </c>
    </row>
    <row r="7" spans="1:37" x14ac:dyDescent="0.25">
      <c r="A7" s="30">
        <v>2016</v>
      </c>
      <c r="Z7" s="32" t="s">
        <v>59</v>
      </c>
    </row>
    <row r="8" spans="1:37" x14ac:dyDescent="0.25">
      <c r="A8" t="s">
        <v>53</v>
      </c>
      <c r="B8" t="s">
        <v>54</v>
      </c>
      <c r="C8" t="s">
        <v>3</v>
      </c>
      <c r="D8" t="s">
        <v>55</v>
      </c>
      <c r="E8" t="s">
        <v>24</v>
      </c>
      <c r="F8" t="s">
        <v>25</v>
      </c>
      <c r="G8" t="s">
        <v>26</v>
      </c>
      <c r="H8" t="s">
        <v>27</v>
      </c>
      <c r="Z8" t="s">
        <v>53</v>
      </c>
      <c r="AA8" t="s">
        <v>54</v>
      </c>
      <c r="AB8" t="s">
        <v>3</v>
      </c>
      <c r="AC8" t="s">
        <v>55</v>
      </c>
      <c r="AD8" t="s">
        <v>24</v>
      </c>
      <c r="AE8" t="s">
        <v>25</v>
      </c>
      <c r="AF8" t="s">
        <v>26</v>
      </c>
      <c r="AG8" t="s">
        <v>27</v>
      </c>
    </row>
    <row r="9" spans="1:37" x14ac:dyDescent="0.25">
      <c r="A9" s="24">
        <v>0</v>
      </c>
      <c r="B9" s="24">
        <v>0</v>
      </c>
      <c r="C9" s="24">
        <v>0</v>
      </c>
      <c r="D9" s="24">
        <v>1</v>
      </c>
      <c r="E9" s="23">
        <v>1.3948997166666701E-2</v>
      </c>
      <c r="F9" s="23">
        <v>3.3525773406096103E-2</v>
      </c>
      <c r="G9" s="23">
        <v>0.20298819858880801</v>
      </c>
      <c r="H9" t="s">
        <v>28</v>
      </c>
      <c r="Z9" s="24">
        <v>0.03</v>
      </c>
      <c r="AA9" s="24">
        <v>0.62</v>
      </c>
      <c r="AB9" s="24">
        <v>7.0000000000000007E-2</v>
      </c>
      <c r="AC9" s="24">
        <v>0.28000000000000003</v>
      </c>
      <c r="AD9" s="23">
        <v>2.2001719495652202E-3</v>
      </c>
      <c r="AE9" s="23">
        <v>3.5024254799570102E-2</v>
      </c>
      <c r="AF9" s="23">
        <v>-8.2430258985795202E-2</v>
      </c>
      <c r="AG9" t="s">
        <v>28</v>
      </c>
    </row>
    <row r="10" spans="1:37" x14ac:dyDescent="0.25">
      <c r="A10" s="24">
        <v>1</v>
      </c>
      <c r="B10" s="24">
        <v>0</v>
      </c>
      <c r="C10" s="24">
        <v>0</v>
      </c>
      <c r="D10" s="24">
        <v>0</v>
      </c>
      <c r="E10" s="23">
        <v>7.1436608166666707E-2</v>
      </c>
      <c r="F10" s="23">
        <v>9.4210504872110495E-2</v>
      </c>
      <c r="G10" s="23">
        <v>0.68243926128277099</v>
      </c>
      <c r="H10" t="s">
        <v>29</v>
      </c>
      <c r="Z10" s="24">
        <v>0.86</v>
      </c>
      <c r="AA10" s="24">
        <v>0</v>
      </c>
      <c r="AB10" s="24">
        <v>0</v>
      </c>
      <c r="AC10" s="24">
        <v>0.14000000000000001</v>
      </c>
      <c r="AD10" s="23">
        <v>4.5330639803478297E-2</v>
      </c>
      <c r="AE10" s="23">
        <v>8.4330620583722399E-2</v>
      </c>
      <c r="AF10" s="23">
        <v>0.47720992898477299</v>
      </c>
      <c r="AG10" t="s">
        <v>29</v>
      </c>
    </row>
    <row r="13" spans="1:37" x14ac:dyDescent="0.25">
      <c r="A13" s="30">
        <v>2017</v>
      </c>
      <c r="Z13" s="32" t="s">
        <v>60</v>
      </c>
    </row>
    <row r="14" spans="1:37" x14ac:dyDescent="0.25">
      <c r="A14" t="s">
        <v>53</v>
      </c>
      <c r="B14" t="s">
        <v>54</v>
      </c>
      <c r="C14" t="s">
        <v>3</v>
      </c>
      <c r="D14" t="s">
        <v>55</v>
      </c>
      <c r="E14" t="s">
        <v>24</v>
      </c>
      <c r="F14" t="s">
        <v>25</v>
      </c>
      <c r="G14" t="s">
        <v>26</v>
      </c>
      <c r="H14" t="s">
        <v>27</v>
      </c>
      <c r="Z14" t="s">
        <v>53</v>
      </c>
      <c r="AA14" t="s">
        <v>54</v>
      </c>
      <c r="AB14" t="s">
        <v>3</v>
      </c>
      <c r="AC14" t="s">
        <v>55</v>
      </c>
      <c r="AD14" t="s">
        <v>24</v>
      </c>
      <c r="AE14" t="s">
        <v>25</v>
      </c>
      <c r="AF14" t="s">
        <v>26</v>
      </c>
      <c r="AG14" t="s">
        <v>27</v>
      </c>
    </row>
    <row r="15" spans="1:37" x14ac:dyDescent="0.25">
      <c r="A15" s="24">
        <v>0</v>
      </c>
      <c r="B15" s="24">
        <v>0.27</v>
      </c>
      <c r="C15" s="24">
        <v>0.43</v>
      </c>
      <c r="D15" s="24">
        <v>0.3</v>
      </c>
      <c r="E15" s="23">
        <v>1.4378859737499999E-2</v>
      </c>
      <c r="F15" s="23">
        <v>1.5281708730981799E-2</v>
      </c>
      <c r="G15" s="23">
        <v>0.59512746671637096</v>
      </c>
      <c r="H15" t="s">
        <v>28</v>
      </c>
      <c r="Z15" s="24">
        <v>0</v>
      </c>
      <c r="AA15" s="24">
        <v>0.59</v>
      </c>
      <c r="AB15" s="24">
        <v>0.1</v>
      </c>
      <c r="AC15" s="24">
        <v>0.31</v>
      </c>
      <c r="AD15" s="23">
        <v>4.8802547371428601E-4</v>
      </c>
      <c r="AE15" s="23">
        <v>3.0847934471412802E-2</v>
      </c>
      <c r="AF15" s="23">
        <v>-0.15128306061776001</v>
      </c>
      <c r="AG15" t="s">
        <v>28</v>
      </c>
    </row>
    <row r="16" spans="1:37" x14ac:dyDescent="0.25">
      <c r="A16" s="24">
        <v>0.12</v>
      </c>
      <c r="B16" s="24">
        <v>0</v>
      </c>
      <c r="C16" s="24">
        <v>0.88</v>
      </c>
      <c r="D16" s="24">
        <v>0</v>
      </c>
      <c r="E16" s="23">
        <v>3.9163793680000003E-2</v>
      </c>
      <c r="F16" s="23">
        <v>2.4799986962794701E-2</v>
      </c>
      <c r="G16" s="23">
        <v>1.3661095305208499</v>
      </c>
      <c r="H16" t="s">
        <v>29</v>
      </c>
      <c r="Z16" s="24">
        <v>1</v>
      </c>
      <c r="AA16" s="24">
        <v>0</v>
      </c>
      <c r="AB16" s="24">
        <v>0</v>
      </c>
      <c r="AC16" s="24">
        <v>0</v>
      </c>
      <c r="AD16" s="23">
        <v>5.1547954142857101E-2</v>
      </c>
      <c r="AE16" s="23">
        <v>0.109550395099707</v>
      </c>
      <c r="AF16" s="23">
        <v>0.423486913820319</v>
      </c>
      <c r="AG16" t="s">
        <v>29</v>
      </c>
    </row>
    <row r="19" spans="1:33" x14ac:dyDescent="0.25">
      <c r="A19" s="30">
        <v>2018</v>
      </c>
      <c r="Z19" s="32" t="s">
        <v>61</v>
      </c>
    </row>
    <row r="20" spans="1:33" x14ac:dyDescent="0.25">
      <c r="A20" t="s">
        <v>53</v>
      </c>
      <c r="B20" t="s">
        <v>54</v>
      </c>
      <c r="C20" t="s">
        <v>3</v>
      </c>
      <c r="D20" t="s">
        <v>55</v>
      </c>
      <c r="E20" t="s">
        <v>24</v>
      </c>
      <c r="F20" t="s">
        <v>25</v>
      </c>
      <c r="G20" t="s">
        <v>26</v>
      </c>
      <c r="H20" t="s">
        <v>27</v>
      </c>
      <c r="Z20" t="s">
        <v>53</v>
      </c>
      <c r="AA20" t="s">
        <v>54</v>
      </c>
      <c r="AB20" t="s">
        <v>3</v>
      </c>
      <c r="AC20" t="s">
        <v>55</v>
      </c>
      <c r="AD20" t="s">
        <v>24</v>
      </c>
      <c r="AE20" t="s">
        <v>25</v>
      </c>
      <c r="AF20" t="s">
        <v>26</v>
      </c>
      <c r="AG20" t="s">
        <v>27</v>
      </c>
    </row>
    <row r="21" spans="1:33" x14ac:dyDescent="0.25">
      <c r="A21" s="24">
        <v>0.04</v>
      </c>
      <c r="B21" s="24">
        <v>0.8</v>
      </c>
      <c r="C21" s="24">
        <v>0.16</v>
      </c>
      <c r="D21" s="24">
        <v>0</v>
      </c>
      <c r="E21" s="23">
        <v>4.6634463600000002E-3</v>
      </c>
      <c r="F21" s="23">
        <v>1.09018401776316E-2</v>
      </c>
      <c r="G21" s="23">
        <v>0.117293857963265</v>
      </c>
      <c r="H21" t="s">
        <v>28</v>
      </c>
      <c r="Z21" s="24">
        <v>0</v>
      </c>
      <c r="AA21" s="24">
        <v>0.71</v>
      </c>
      <c r="AB21" s="24">
        <v>0.11</v>
      </c>
      <c r="AC21" s="24">
        <v>0.18</v>
      </c>
      <c r="AD21" s="31">
        <v>-4.1109288936170002E-5</v>
      </c>
      <c r="AE21" s="23">
        <v>2.7742007081859098E-2</v>
      </c>
      <c r="AF21" s="23">
        <v>-0.17100321715290601</v>
      </c>
      <c r="AG21" t="s">
        <v>28</v>
      </c>
    </row>
    <row r="22" spans="1:33" x14ac:dyDescent="0.25">
      <c r="A22" s="24">
        <v>0.26</v>
      </c>
      <c r="B22" s="24">
        <v>0.19</v>
      </c>
      <c r="C22" s="24">
        <v>0.55000000000000004</v>
      </c>
      <c r="D22" s="24">
        <v>0</v>
      </c>
      <c r="E22" s="23">
        <v>1.6900924062499999E-2</v>
      </c>
      <c r="F22" s="23">
        <v>3.2935388627071301E-2</v>
      </c>
      <c r="G22" s="23">
        <v>0.41038521660933602</v>
      </c>
      <c r="H22" t="s">
        <v>29</v>
      </c>
      <c r="Z22" s="24">
        <v>0.92</v>
      </c>
      <c r="AA22" s="24">
        <v>0</v>
      </c>
      <c r="AB22" s="24">
        <v>0.08</v>
      </c>
      <c r="AC22" s="24">
        <v>0</v>
      </c>
      <c r="AD22" s="23">
        <v>4.4107568145531899E-2</v>
      </c>
      <c r="AE22" s="23">
        <v>0.10435293821778099</v>
      </c>
      <c r="AF22" s="23">
        <v>0.37760992307619701</v>
      </c>
      <c r="AG22" t="s">
        <v>29</v>
      </c>
    </row>
    <row r="25" spans="1:33" x14ac:dyDescent="0.25">
      <c r="A25" s="30">
        <v>2019</v>
      </c>
      <c r="Z25" s="32" t="s">
        <v>62</v>
      </c>
    </row>
    <row r="26" spans="1:33" x14ac:dyDescent="0.25">
      <c r="A26" t="s">
        <v>53</v>
      </c>
      <c r="B26" t="s">
        <v>54</v>
      </c>
      <c r="C26" t="s">
        <v>3</v>
      </c>
      <c r="D26" t="s">
        <v>55</v>
      </c>
      <c r="E26" t="s">
        <v>24</v>
      </c>
      <c r="F26" t="s">
        <v>25</v>
      </c>
      <c r="G26" t="s">
        <v>26</v>
      </c>
      <c r="H26" t="s">
        <v>27</v>
      </c>
      <c r="Z26" t="s">
        <v>53</v>
      </c>
      <c r="AA26" t="s">
        <v>54</v>
      </c>
      <c r="AB26" t="s">
        <v>3</v>
      </c>
      <c r="AC26" t="s">
        <v>55</v>
      </c>
      <c r="AD26" t="s">
        <v>24</v>
      </c>
      <c r="AE26" t="s">
        <v>25</v>
      </c>
      <c r="AF26" t="s">
        <v>26</v>
      </c>
      <c r="AG26" t="s">
        <v>27</v>
      </c>
    </row>
    <row r="27" spans="1:33" x14ac:dyDescent="0.25">
      <c r="A27" s="24">
        <v>0</v>
      </c>
      <c r="B27" s="24">
        <v>0.99</v>
      </c>
      <c r="C27" s="24">
        <v>0</v>
      </c>
      <c r="D27" s="24">
        <v>0.01</v>
      </c>
      <c r="E27" s="23">
        <v>4.5977577166666696E-3</v>
      </c>
      <c r="F27" s="23">
        <v>1.93991768478032E-2</v>
      </c>
      <c r="G27" s="23">
        <v>-4.5174602349132002E-2</v>
      </c>
      <c r="H27" t="s">
        <v>28</v>
      </c>
      <c r="Z27" s="24">
        <v>0</v>
      </c>
      <c r="AA27" s="24">
        <v>0.77</v>
      </c>
      <c r="AB27" s="24">
        <v>0.09</v>
      </c>
      <c r="AC27" s="24">
        <v>0.14000000000000001</v>
      </c>
      <c r="AD27" s="23">
        <v>1.4585134089830499E-3</v>
      </c>
      <c r="AE27" s="23">
        <v>2.67780437629727E-2</v>
      </c>
      <c r="AF27" s="23">
        <v>-0.12701499448404399</v>
      </c>
      <c r="AG27" t="s">
        <v>28</v>
      </c>
    </row>
    <row r="28" spans="1:33" x14ac:dyDescent="0.25">
      <c r="A28" s="24">
        <v>0.47</v>
      </c>
      <c r="B28" s="24">
        <v>0</v>
      </c>
      <c r="C28" s="24">
        <v>0.33</v>
      </c>
      <c r="D28" s="24">
        <v>0.2</v>
      </c>
      <c r="E28" s="23">
        <v>4.23595336841667E-2</v>
      </c>
      <c r="F28" s="23">
        <v>4.7810912497952399E-2</v>
      </c>
      <c r="G28" s="23">
        <v>0.77148550279352401</v>
      </c>
      <c r="H28" t="s">
        <v>29</v>
      </c>
      <c r="Z28" s="24">
        <v>0.79</v>
      </c>
      <c r="AA28" s="24">
        <v>0</v>
      </c>
      <c r="AB28" s="24">
        <v>0.21</v>
      </c>
      <c r="AC28" s="24">
        <v>0</v>
      </c>
      <c r="AD28" s="23">
        <v>4.1692621739830502E-2</v>
      </c>
      <c r="AE28" s="23">
        <v>8.6996362507681099E-2</v>
      </c>
      <c r="AF28" s="23">
        <v>0.42338431387574299</v>
      </c>
      <c r="AG28" t="s">
        <v>29</v>
      </c>
    </row>
    <row r="31" spans="1:33" x14ac:dyDescent="0.25">
      <c r="A31" s="30">
        <v>2020</v>
      </c>
      <c r="Z31" s="32" t="s">
        <v>63</v>
      </c>
    </row>
    <row r="32" spans="1:33" x14ac:dyDescent="0.25">
      <c r="A32" t="s">
        <v>53</v>
      </c>
      <c r="B32" t="s">
        <v>54</v>
      </c>
      <c r="C32" t="s">
        <v>3</v>
      </c>
      <c r="D32" t="s">
        <v>55</v>
      </c>
      <c r="E32" t="s">
        <v>24</v>
      </c>
      <c r="F32" t="s">
        <v>25</v>
      </c>
      <c r="G32" t="s">
        <v>26</v>
      </c>
      <c r="H32" t="s">
        <v>27</v>
      </c>
      <c r="Z32" t="s">
        <v>53</v>
      </c>
      <c r="AA32" t="s">
        <v>54</v>
      </c>
      <c r="AB32" t="s">
        <v>3</v>
      </c>
      <c r="AC32" t="s">
        <v>55</v>
      </c>
      <c r="AD32" t="s">
        <v>24</v>
      </c>
      <c r="AE32" t="s">
        <v>25</v>
      </c>
      <c r="AF32" t="s">
        <v>26</v>
      </c>
      <c r="AG32" t="s">
        <v>27</v>
      </c>
    </row>
    <row r="33" spans="1:33" x14ac:dyDescent="0.25">
      <c r="A33" s="24">
        <v>0.08</v>
      </c>
      <c r="B33" s="24">
        <v>0.81</v>
      </c>
      <c r="C33" s="24">
        <v>0.1</v>
      </c>
      <c r="D33" s="24">
        <v>0.01</v>
      </c>
      <c r="E33" s="23">
        <v>2.9422015600000001E-3</v>
      </c>
      <c r="F33" s="23">
        <v>1.6905128448217999E-2</v>
      </c>
      <c r="G33" s="23">
        <v>0.18257249978632001</v>
      </c>
      <c r="H33" t="s">
        <v>28</v>
      </c>
      <c r="Z33" s="24">
        <v>0.02</v>
      </c>
      <c r="AA33" s="24">
        <v>0.77</v>
      </c>
      <c r="AB33" s="24">
        <v>0.09</v>
      </c>
      <c r="AC33" s="24">
        <v>0.12</v>
      </c>
      <c r="AD33" s="23">
        <v>2.5605801421126799E-3</v>
      </c>
      <c r="AE33" s="23">
        <v>2.5575539954488399E-2</v>
      </c>
      <c r="AF33" s="23">
        <v>-5.6828149299842201E-2</v>
      </c>
      <c r="AG33" t="s">
        <v>28</v>
      </c>
    </row>
    <row r="34" spans="1:33" x14ac:dyDescent="0.25">
      <c r="A34" s="24">
        <v>0</v>
      </c>
      <c r="B34" s="24">
        <v>0.23</v>
      </c>
      <c r="C34" s="24">
        <v>0.28000000000000003</v>
      </c>
      <c r="D34" s="24">
        <v>0.49</v>
      </c>
      <c r="E34" s="23">
        <v>1.1869465879999999E-2</v>
      </c>
      <c r="F34" s="23">
        <v>3.2074908471691102E-2</v>
      </c>
      <c r="G34" s="23">
        <v>0.37455058961752402</v>
      </c>
      <c r="H34" t="s">
        <v>29</v>
      </c>
      <c r="Z34" s="24">
        <v>0.46</v>
      </c>
      <c r="AA34" s="24">
        <v>0</v>
      </c>
      <c r="AB34" s="24">
        <v>0.28999999999999998</v>
      </c>
      <c r="AC34" s="24">
        <v>0.25</v>
      </c>
      <c r="AD34" s="23">
        <v>2.5792873531831E-2</v>
      </c>
      <c r="AE34" s="23">
        <v>6.3298696638546398E-2</v>
      </c>
      <c r="AF34" s="23">
        <v>0.344065264267986</v>
      </c>
      <c r="AG34" t="s">
        <v>29</v>
      </c>
    </row>
    <row r="37" spans="1:33" x14ac:dyDescent="0.25">
      <c r="A37" s="30">
        <v>2021</v>
      </c>
      <c r="Z37" s="32" t="s">
        <v>64</v>
      </c>
    </row>
    <row r="38" spans="1:33" x14ac:dyDescent="0.25">
      <c r="A38" t="s">
        <v>53</v>
      </c>
      <c r="B38" t="s">
        <v>54</v>
      </c>
      <c r="C38" t="s">
        <v>3</v>
      </c>
      <c r="D38" t="s">
        <v>55</v>
      </c>
      <c r="E38" t="s">
        <v>24</v>
      </c>
      <c r="F38" t="s">
        <v>25</v>
      </c>
      <c r="G38" t="s">
        <v>26</v>
      </c>
      <c r="H38" t="s">
        <v>27</v>
      </c>
      <c r="Z38" t="s">
        <v>53</v>
      </c>
      <c r="AA38" t="s">
        <v>54</v>
      </c>
      <c r="AB38" t="s">
        <v>3</v>
      </c>
      <c r="AC38" t="s">
        <v>55</v>
      </c>
      <c r="AD38" t="s">
        <v>24</v>
      </c>
      <c r="AE38" t="s">
        <v>25</v>
      </c>
      <c r="AF38" t="s">
        <v>26</v>
      </c>
      <c r="AG38" t="s">
        <v>27</v>
      </c>
    </row>
    <row r="39" spans="1:33" x14ac:dyDescent="0.25">
      <c r="A39" s="24">
        <v>0.11</v>
      </c>
      <c r="B39" s="24">
        <v>0.79</v>
      </c>
      <c r="C39" s="24">
        <v>0.1</v>
      </c>
      <c r="D39" s="24">
        <v>0</v>
      </c>
      <c r="E39" s="23">
        <v>-7.13081030833334E-4</v>
      </c>
      <c r="F39" s="23">
        <v>1.6507063437860799E-2</v>
      </c>
      <c r="G39" s="23">
        <v>0.120926917741263</v>
      </c>
      <c r="H39" t="s">
        <v>28</v>
      </c>
      <c r="Z39" s="24">
        <v>0.04</v>
      </c>
      <c r="AA39" s="24">
        <v>0.8</v>
      </c>
      <c r="AB39" s="24">
        <v>0.08</v>
      </c>
      <c r="AC39" s="24">
        <v>0.08</v>
      </c>
      <c r="AD39" s="23">
        <v>2.9204315185542202E-3</v>
      </c>
      <c r="AE39" s="23">
        <v>2.4686334309068698E-2</v>
      </c>
      <c r="AF39" s="23">
        <v>-4.9228616298517503E-3</v>
      </c>
      <c r="AG39" t="s">
        <v>28</v>
      </c>
    </row>
    <row r="40" spans="1:33" x14ac:dyDescent="0.25">
      <c r="A40" s="24">
        <v>0.04</v>
      </c>
      <c r="B40" s="24">
        <v>0</v>
      </c>
      <c r="C40" s="24">
        <v>0</v>
      </c>
      <c r="D40" s="24">
        <v>0.96</v>
      </c>
      <c r="E40" s="23">
        <v>2.6356954666666699E-2</v>
      </c>
      <c r="F40" s="23">
        <v>3.0626984260773499E-2</v>
      </c>
      <c r="G40" s="23">
        <v>0.94903839543965196</v>
      </c>
      <c r="H40" t="s">
        <v>29</v>
      </c>
      <c r="Z40" s="24">
        <v>0.22</v>
      </c>
      <c r="AA40" s="24">
        <v>0</v>
      </c>
      <c r="AB40" s="24">
        <v>0.14000000000000001</v>
      </c>
      <c r="AC40" s="24">
        <v>0.64</v>
      </c>
      <c r="AD40" s="23">
        <v>1.65544300472289E-2</v>
      </c>
      <c r="AE40" s="23">
        <v>4.2415361981591702E-2</v>
      </c>
      <c r="AF40" s="23">
        <v>0.31857493345423499</v>
      </c>
      <c r="AG40" t="s">
        <v>29</v>
      </c>
    </row>
    <row r="43" spans="1:33" x14ac:dyDescent="0.25">
      <c r="A43" s="30">
        <v>2022</v>
      </c>
      <c r="Z43" s="32" t="s">
        <v>65</v>
      </c>
    </row>
    <row r="44" spans="1:33" x14ac:dyDescent="0.25">
      <c r="A44" t="s">
        <v>53</v>
      </c>
      <c r="B44" t="s">
        <v>54</v>
      </c>
      <c r="C44" t="s">
        <v>3</v>
      </c>
      <c r="D44" t="s">
        <v>55</v>
      </c>
      <c r="E44" t="s">
        <v>24</v>
      </c>
      <c r="F44" t="s">
        <v>25</v>
      </c>
      <c r="G44" t="s">
        <v>26</v>
      </c>
      <c r="H44" t="s">
        <v>27</v>
      </c>
      <c r="Z44" t="s">
        <v>53</v>
      </c>
      <c r="AA44" t="s">
        <v>54</v>
      </c>
      <c r="AB44" t="s">
        <v>3</v>
      </c>
      <c r="AC44" t="s">
        <v>55</v>
      </c>
      <c r="AD44" t="s">
        <v>24</v>
      </c>
      <c r="AE44" t="s">
        <v>25</v>
      </c>
      <c r="AF44" t="s">
        <v>26</v>
      </c>
      <c r="AG44" t="s">
        <v>27</v>
      </c>
    </row>
    <row r="45" spans="1:33" x14ac:dyDescent="0.25">
      <c r="A45" s="24">
        <v>0.04</v>
      </c>
      <c r="B45" s="24">
        <v>0.96</v>
      </c>
      <c r="C45" s="24">
        <v>0</v>
      </c>
      <c r="D45" s="24">
        <v>0</v>
      </c>
      <c r="E45" s="23">
        <v>-3.67690054333333E-3</v>
      </c>
      <c r="F45" s="23">
        <v>2.18648442169362E-2</v>
      </c>
      <c r="G45" s="23">
        <v>-2.0610912226437499E-2</v>
      </c>
      <c r="H45" t="s">
        <v>28</v>
      </c>
      <c r="Z45" s="24">
        <v>0.04</v>
      </c>
      <c r="AA45" s="24">
        <v>0.83</v>
      </c>
      <c r="AB45" s="24">
        <v>7.0000000000000007E-2</v>
      </c>
      <c r="AC45" s="24">
        <v>0.06</v>
      </c>
      <c r="AD45" s="23">
        <v>1.67214568284211E-3</v>
      </c>
      <c r="AE45" s="23">
        <v>2.4762349053224199E-2</v>
      </c>
      <c r="AF45" s="23">
        <v>-2.3343503015284799E-2</v>
      </c>
      <c r="AG45" t="s">
        <v>28</v>
      </c>
    </row>
    <row r="46" spans="1:33" x14ac:dyDescent="0.25">
      <c r="A46" s="24">
        <v>0</v>
      </c>
      <c r="B46" s="24">
        <v>1</v>
      </c>
      <c r="C46" s="24">
        <v>0</v>
      </c>
      <c r="D46" s="24">
        <v>0</v>
      </c>
      <c r="E46" s="23">
        <v>-2.4858355000000002E-3</v>
      </c>
      <c r="F46" s="23">
        <v>2.26651459111551E-2</v>
      </c>
      <c r="G46" s="23">
        <v>3.2667367827044297E-2</v>
      </c>
      <c r="H46" t="s">
        <v>29</v>
      </c>
      <c r="Z46" s="24">
        <v>0.21</v>
      </c>
      <c r="AA46" s="24">
        <v>0</v>
      </c>
      <c r="AB46" s="24">
        <v>0.16</v>
      </c>
      <c r="AC46" s="24">
        <v>0.63</v>
      </c>
      <c r="AD46" s="23">
        <v>1.24784972868421E-2</v>
      </c>
      <c r="AE46" s="23">
        <v>4.4048008488629699E-2</v>
      </c>
      <c r="AF46" s="23">
        <v>0.23220826514440099</v>
      </c>
      <c r="AG46" t="s">
        <v>29</v>
      </c>
    </row>
    <row r="49" spans="1:37" x14ac:dyDescent="0.25">
      <c r="A49" s="30">
        <v>2023</v>
      </c>
      <c r="Z49" s="32" t="s">
        <v>66</v>
      </c>
    </row>
    <row r="50" spans="1:37" x14ac:dyDescent="0.25">
      <c r="A50" t="s">
        <v>53</v>
      </c>
      <c r="B50" t="s">
        <v>54</v>
      </c>
      <c r="C50" t="s">
        <v>3</v>
      </c>
      <c r="D50" t="s">
        <v>55</v>
      </c>
      <c r="E50" t="s">
        <v>24</v>
      </c>
      <c r="F50" t="s">
        <v>25</v>
      </c>
      <c r="G50" t="s">
        <v>26</v>
      </c>
      <c r="H50" t="s">
        <v>27</v>
      </c>
      <c r="Z50" t="s">
        <v>53</v>
      </c>
      <c r="AA50" t="s">
        <v>54</v>
      </c>
      <c r="AB50" t="s">
        <v>3</v>
      </c>
      <c r="AC50" t="s">
        <v>55</v>
      </c>
      <c r="AD50" t="s">
        <v>24</v>
      </c>
      <c r="AE50" t="s">
        <v>25</v>
      </c>
      <c r="AF50" t="s">
        <v>26</v>
      </c>
      <c r="AG50" t="s">
        <v>27</v>
      </c>
    </row>
    <row r="51" spans="1:37" x14ac:dyDescent="0.25">
      <c r="A51" s="24">
        <v>0.03</v>
      </c>
      <c r="B51" s="24">
        <v>0.95</v>
      </c>
      <c r="C51" s="24">
        <v>0.02</v>
      </c>
      <c r="D51" s="24">
        <v>0</v>
      </c>
      <c r="E51" s="23">
        <v>-5.3863395908333297E-3</v>
      </c>
      <c r="F51" s="23">
        <v>1.6422632254083001E-2</v>
      </c>
      <c r="G51" s="23">
        <v>-0.27111593248963101</v>
      </c>
      <c r="H51" t="s">
        <v>28</v>
      </c>
      <c r="Z51" s="24">
        <v>0.04</v>
      </c>
      <c r="AA51" s="24">
        <v>0.85</v>
      </c>
      <c r="AB51" s="24">
        <v>0.06</v>
      </c>
      <c r="AC51" s="24">
        <v>0.05</v>
      </c>
      <c r="AD51" s="23">
        <v>6.2121000280373801E-4</v>
      </c>
      <c r="AE51" s="23">
        <v>2.40873333670448E-2</v>
      </c>
      <c r="AF51" s="23">
        <v>-5.2802925534031403E-2</v>
      </c>
      <c r="AG51" t="s">
        <v>28</v>
      </c>
    </row>
    <row r="52" spans="1:37" x14ac:dyDescent="0.25">
      <c r="A52" s="24">
        <v>0</v>
      </c>
      <c r="B52" s="24">
        <v>0</v>
      </c>
      <c r="C52" s="24">
        <v>0</v>
      </c>
      <c r="D52" s="24">
        <v>1</v>
      </c>
      <c r="E52" s="23">
        <v>1.04438879166667E-2</v>
      </c>
      <c r="F52" s="23">
        <v>3.1871252015372602E-2</v>
      </c>
      <c r="G52" s="23">
        <v>0.35699225887053598</v>
      </c>
      <c r="H52" t="s">
        <v>29</v>
      </c>
      <c r="Z52" s="24">
        <v>0.16</v>
      </c>
      <c r="AA52" s="24">
        <v>0</v>
      </c>
      <c r="AB52" s="24">
        <v>0.04</v>
      </c>
      <c r="AC52" s="24">
        <v>0.8</v>
      </c>
      <c r="AD52" s="23">
        <v>1.12393417401869E-2</v>
      </c>
      <c r="AE52" s="23">
        <v>4.3549115574801199E-2</v>
      </c>
      <c r="AF52" s="23">
        <v>0.214614004071709</v>
      </c>
      <c r="AG52" t="s">
        <v>29</v>
      </c>
    </row>
    <row r="55" spans="1:37" x14ac:dyDescent="0.25">
      <c r="A55" s="30">
        <v>2024</v>
      </c>
      <c r="Z55" s="32" t="s">
        <v>67</v>
      </c>
    </row>
    <row r="56" spans="1:37" x14ac:dyDescent="0.25">
      <c r="A56" t="s">
        <v>53</v>
      </c>
      <c r="B56" t="s">
        <v>54</v>
      </c>
      <c r="C56" t="s">
        <v>3</v>
      </c>
      <c r="D56" t="s">
        <v>55</v>
      </c>
      <c r="E56" t="s">
        <v>24</v>
      </c>
      <c r="F56" t="s">
        <v>25</v>
      </c>
      <c r="G56" t="s">
        <v>26</v>
      </c>
      <c r="H56" t="s">
        <v>27</v>
      </c>
      <c r="K56" s="29" t="s">
        <v>57</v>
      </c>
      <c r="Z56" t="s">
        <v>53</v>
      </c>
      <c r="AA56" t="s">
        <v>54</v>
      </c>
      <c r="AB56" t="s">
        <v>3</v>
      </c>
      <c r="AC56" t="s">
        <v>55</v>
      </c>
      <c r="AD56" t="s">
        <v>24</v>
      </c>
      <c r="AE56" t="s">
        <v>25</v>
      </c>
      <c r="AF56" t="s">
        <v>26</v>
      </c>
      <c r="AG56" t="s">
        <v>27</v>
      </c>
      <c r="AK56" s="29" t="s">
        <v>70</v>
      </c>
    </row>
    <row r="57" spans="1:37" x14ac:dyDescent="0.25">
      <c r="A57" s="24">
        <v>0.05</v>
      </c>
      <c r="B57" s="24">
        <v>0.93</v>
      </c>
      <c r="C57" s="24">
        <v>0.01</v>
      </c>
      <c r="D57" s="24">
        <v>0.01</v>
      </c>
      <c r="E57" s="23">
        <v>4.5521737258333297E-3</v>
      </c>
      <c r="F57" s="23">
        <v>6.1444114713877099E-3</v>
      </c>
      <c r="G57" s="23">
        <v>3.9750465709751402E-2</v>
      </c>
      <c r="H57" t="s">
        <v>28</v>
      </c>
      <c r="Z57" s="24">
        <v>0.04</v>
      </c>
      <c r="AA57" s="24">
        <v>0.85</v>
      </c>
      <c r="AB57" s="24">
        <v>0.06</v>
      </c>
      <c r="AC57" s="24">
        <v>0.05</v>
      </c>
      <c r="AD57" s="23">
        <v>9.7101989647058802E-4</v>
      </c>
      <c r="AE57" s="23">
        <v>2.2975843083303801E-2</v>
      </c>
      <c r="AF57" s="23">
        <v>-5.0730888615335798E-2</v>
      </c>
      <c r="AG57" t="s">
        <v>28</v>
      </c>
    </row>
    <row r="58" spans="1:37" x14ac:dyDescent="0.25">
      <c r="A58" s="24">
        <v>0.26</v>
      </c>
      <c r="B58" s="24">
        <v>0</v>
      </c>
      <c r="C58" s="24">
        <v>0</v>
      </c>
      <c r="D58" s="24">
        <v>0.74</v>
      </c>
      <c r="E58" s="23">
        <v>2.9004318973333301E-2</v>
      </c>
      <c r="F58" s="23">
        <v>2.40727716716557E-2</v>
      </c>
      <c r="G58" s="23">
        <v>1.0259054836663699</v>
      </c>
      <c r="H58" t="s">
        <v>29</v>
      </c>
      <c r="Z58" s="24">
        <v>0.17</v>
      </c>
      <c r="AA58" s="24">
        <v>0</v>
      </c>
      <c r="AB58" s="24">
        <v>0</v>
      </c>
      <c r="AC58" s="24">
        <v>0.83</v>
      </c>
      <c r="AD58" s="23">
        <v>1.3179111262521E-2</v>
      </c>
      <c r="AE58" s="23">
        <v>4.3887341239918699E-2</v>
      </c>
      <c r="AF58" s="23">
        <v>0.251610284828646</v>
      </c>
      <c r="AG58" t="s">
        <v>29</v>
      </c>
    </row>
    <row r="61" spans="1:37" x14ac:dyDescent="0.25">
      <c r="A61" s="30">
        <v>2025</v>
      </c>
      <c r="Z61" s="32" t="s">
        <v>68</v>
      </c>
    </row>
    <row r="62" spans="1:37" x14ac:dyDescent="0.25">
      <c r="A62" t="s">
        <v>53</v>
      </c>
      <c r="B62" t="s">
        <v>54</v>
      </c>
      <c r="C62" t="s">
        <v>3</v>
      </c>
      <c r="D62" t="s">
        <v>55</v>
      </c>
      <c r="E62" t="s">
        <v>24</v>
      </c>
      <c r="F62" t="s">
        <v>25</v>
      </c>
      <c r="G62" t="s">
        <v>26</v>
      </c>
      <c r="H62" t="s">
        <v>27</v>
      </c>
      <c r="Z62" t="s">
        <v>53</v>
      </c>
      <c r="AA62" t="s">
        <v>54</v>
      </c>
      <c r="AB62" t="s">
        <v>3</v>
      </c>
      <c r="AC62" t="s">
        <v>55</v>
      </c>
      <c r="AD62" t="s">
        <v>24</v>
      </c>
      <c r="AE62" t="s">
        <v>25</v>
      </c>
      <c r="AF62" t="s">
        <v>26</v>
      </c>
      <c r="AG62" t="s">
        <v>27</v>
      </c>
    </row>
    <row r="63" spans="1:37" x14ac:dyDescent="0.25">
      <c r="A63" s="24">
        <v>0.03</v>
      </c>
      <c r="B63" s="24">
        <v>0.89</v>
      </c>
      <c r="C63" s="24">
        <v>0.08</v>
      </c>
      <c r="D63" s="24">
        <v>0</v>
      </c>
      <c r="E63" s="23">
        <v>-1.1244050015E-3</v>
      </c>
      <c r="F63" s="23">
        <v>6.80555755239989E-3</v>
      </c>
      <c r="G63" s="23">
        <v>-0.58481199973050202</v>
      </c>
      <c r="H63" t="s">
        <v>28</v>
      </c>
      <c r="Z63" s="24">
        <v>0.04</v>
      </c>
      <c r="AA63" s="24">
        <v>0.86</v>
      </c>
      <c r="AB63" s="24">
        <v>0.06</v>
      </c>
      <c r="AC63" s="24">
        <v>0.04</v>
      </c>
      <c r="AD63" s="23">
        <v>6.71447158527132E-4</v>
      </c>
      <c r="AE63" s="23">
        <v>2.2166914365758301E-2</v>
      </c>
      <c r="AF63" s="23">
        <v>-6.8610864317016504E-2</v>
      </c>
      <c r="AG63" t="s">
        <v>28</v>
      </c>
    </row>
    <row r="64" spans="1:37" x14ac:dyDescent="0.25">
      <c r="A64" s="24">
        <v>0.28999999999999998</v>
      </c>
      <c r="B64" s="24">
        <v>0</v>
      </c>
      <c r="C64" s="24">
        <v>0.71</v>
      </c>
      <c r="D64" s="24">
        <v>0</v>
      </c>
      <c r="E64" s="23">
        <v>4.0608319414999997E-2</v>
      </c>
      <c r="F64" s="23">
        <v>7.0360428923765803E-2</v>
      </c>
      <c r="G64" s="23">
        <v>0.53656228753102697</v>
      </c>
      <c r="H64" t="s">
        <v>29</v>
      </c>
      <c r="Z64" s="24">
        <v>0.2</v>
      </c>
      <c r="AA64" s="24">
        <v>0</v>
      </c>
      <c r="AB64" s="24">
        <v>0.06</v>
      </c>
      <c r="AC64" s="24">
        <v>0.74</v>
      </c>
      <c r="AD64" s="23">
        <v>1.2687728351162801E-2</v>
      </c>
      <c r="AE64" s="23">
        <v>4.3125185666562003E-2</v>
      </c>
      <c r="AF64" s="23">
        <v>0.243370315432578</v>
      </c>
      <c r="AG64" t="s">
        <v>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37DA-06C7-429D-AAC3-FF11C8BFF46B}">
  <dimension ref="A1:B12"/>
  <sheetViews>
    <sheetView tabSelected="1" workbookViewId="0">
      <selection activeCell="A24" sqref="A24"/>
    </sheetView>
  </sheetViews>
  <sheetFormatPr defaultRowHeight="15" x14ac:dyDescent="0.25"/>
  <cols>
    <col min="1" max="1" width="32.140625" bestFit="1" customWidth="1"/>
    <col min="2" max="2" width="12.42578125" customWidth="1"/>
  </cols>
  <sheetData>
    <row r="1" spans="1:2" x14ac:dyDescent="0.25">
      <c r="A1" s="21" t="s">
        <v>213</v>
      </c>
      <c r="B1" s="21" t="s">
        <v>214</v>
      </c>
    </row>
    <row r="2" spans="1:2" x14ac:dyDescent="0.25">
      <c r="A2" s="37" t="s">
        <v>203</v>
      </c>
      <c r="B2" s="38">
        <v>0.56866949748353901</v>
      </c>
    </row>
    <row r="3" spans="1:2" x14ac:dyDescent="0.25">
      <c r="A3" s="37" t="s">
        <v>204</v>
      </c>
      <c r="B3" s="38">
        <v>1.8334913314161301</v>
      </c>
    </row>
    <row r="4" spans="1:2" x14ac:dyDescent="0.25">
      <c r="A4" s="37" t="s">
        <v>205</v>
      </c>
      <c r="B4" s="38">
        <v>0.81134769039906096</v>
      </c>
    </row>
    <row r="5" spans="1:2" x14ac:dyDescent="0.25">
      <c r="A5" s="37" t="s">
        <v>206</v>
      </c>
      <c r="B5" s="38">
        <v>1.05598444843453E-2</v>
      </c>
    </row>
    <row r="6" spans="1:2" x14ac:dyDescent="0.25">
      <c r="A6" s="37" t="s">
        <v>207</v>
      </c>
      <c r="B6" s="38">
        <v>0.69309620887333101</v>
      </c>
    </row>
    <row r="7" spans="1:2" x14ac:dyDescent="0.25">
      <c r="A7" s="37" t="s">
        <v>208</v>
      </c>
      <c r="B7" s="38">
        <v>0.417028413867714</v>
      </c>
    </row>
    <row r="8" spans="1:2" x14ac:dyDescent="0.25">
      <c r="A8" s="37" t="s">
        <v>209</v>
      </c>
      <c r="B8" s="38">
        <v>1.6501603429960099E-2</v>
      </c>
    </row>
    <row r="9" spans="1:2" x14ac:dyDescent="0.25">
      <c r="A9" s="37" t="s">
        <v>210</v>
      </c>
      <c r="B9" s="38">
        <v>0.38385796008696399</v>
      </c>
    </row>
    <row r="10" spans="1:2" x14ac:dyDescent="0.25">
      <c r="A10" s="37" t="s">
        <v>211</v>
      </c>
      <c r="B10" s="38">
        <v>0.222524843486861</v>
      </c>
    </row>
    <row r="11" spans="1:2" x14ac:dyDescent="0.25">
      <c r="A11" s="37" t="s">
        <v>212</v>
      </c>
      <c r="B11" s="38">
        <v>0.67768997521124896</v>
      </c>
    </row>
    <row r="12" spans="1:2" x14ac:dyDescent="0.25">
      <c r="B12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Tabela przestawna</vt:lpstr>
      <vt:lpstr>Obliczenia</vt:lpstr>
      <vt:lpstr>Macierz korelacji</vt:lpstr>
      <vt:lpstr>Podsumowanie</vt:lpstr>
      <vt:lpstr>Portfele</vt:lpstr>
      <vt:lpstr>Zmiana optymalnych portfeli</vt:lpstr>
      <vt:lpstr>Wskaźniki efektywności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Iwaszkiewicz</dc:creator>
  <cp:lastModifiedBy>Oskar Iwaszkiewicz</cp:lastModifiedBy>
  <dcterms:created xsi:type="dcterms:W3CDTF">2025-11-12T16:40:40Z</dcterms:created>
  <dcterms:modified xsi:type="dcterms:W3CDTF">2025-11-19T16:57:32Z</dcterms:modified>
</cp:coreProperties>
</file>